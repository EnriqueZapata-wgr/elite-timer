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Unidad" sheetId="2" state="visible" r:id="rId4"/>
    <sheet name="Escenarios" sheetId="3" state="visible" r:id="rId5"/>
    <sheet name="Founders" sheetId="4" state="visible" r:id="rId6"/>
    <sheet name="Fuen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<sst xmlns="http://schemas.openxmlformats.org/spreadsheetml/2006/main" count="239" uniqueCount="232">
  <si>
    <t xml:space="preserve">ATP Pro: supuestos del modelo de costos (4 de septiembre de 2026)</t>
  </si>
  <si>
    <t xml:space="preserve">Celdas azules con fondo amarillo = editables. Todo lo demás es fórmula. Fuentes en la hoja Fuentes.</t>
  </si>
  <si>
    <t xml:space="preserve">Cifras en MXN salvo que la etiqueta diga USD. Precios de tienda incluyen IVA (así se muestran al usuario).</t>
  </si>
  <si>
    <t xml:space="preserve">PRECIOS (MXN, IVA incluido)</t>
  </si>
  <si>
    <t xml:space="preserve">Pro mensual, precio A</t>
  </si>
  <si>
    <t xml:space="preserve">Precio propuesto por Enrique</t>
  </si>
  <si>
    <t xml:space="preserve">Pro mensual, precio B</t>
  </si>
  <si>
    <t xml:space="preserve">Alternativa que Enrique aceptaría</t>
  </si>
  <si>
    <t xml:space="preserve">Pro anual</t>
  </si>
  <si>
    <t xml:space="preserve">Incluye Diagnóstico ATP automático sin genética</t>
  </si>
  <si>
    <t xml:space="preserve">Founders (pago único, cupo 50)</t>
  </si>
  <si>
    <t xml:space="preserve">1 hora con Enrique incluida</t>
  </si>
  <si>
    <t xml:space="preserve">IVA</t>
  </si>
  <si>
    <t xml:space="preserve">LIVA art. 1</t>
  </si>
  <si>
    <t xml:space="preserve">Tipo de cambio MXN por USD (FIX Banxico 3 sep 2026)</t>
  </si>
  <si>
    <t xml:space="preserve">DOF 4 sep 2026. El proxy usa 18.75 como techo interno; aquí se usa el FIX real</t>
  </si>
  <si>
    <t xml:space="preserve">COMISIONES DE CANAL</t>
  </si>
  <si>
    <t xml:space="preserve">Apple App Store, Small Business Program (sobre precio sin IVA)</t>
  </si>
  <si>
    <t xml:space="preserve">Menos de 1M USD/año. Con RFC cargado, Apple te deposita el IVA de la venta y tú lo remites al SAT (igual que Google); sin RFC, Apple lo remite. Apple puede retener ISR e IVA: son anticipos, no costo</t>
  </si>
  <si>
    <t xml:space="preserve">Google Play, suscripciones (sobre precio sin IVA)</t>
  </si>
  <si>
    <t xml:space="preserve">15% en suscripciones sin importar umbral. IVA de la venta lo remites tú; Google cobra IVA sobre su comisión (acreditable)</t>
  </si>
  <si>
    <t xml:space="preserve">Stripe tarjeta nacional, porcentaje</t>
  </si>
  <si>
    <t xml:space="preserve">Sobre el monto cobrado (con IVA). Más IVA sobre la comisión (acreditable)</t>
  </si>
  <si>
    <t xml:space="preserve">Stripe tarjeta nacional, fijo por cargo (MXN)</t>
  </si>
  <si>
    <t xml:space="preserve">Más IVA (acreditable)</t>
  </si>
  <si>
    <t xml:space="preserve">Stripe Billing (sobre volumen)</t>
  </si>
  <si>
    <t xml:space="preserve">Solo si usas Stripe Billing para suscripciones web</t>
  </si>
  <si>
    <t xml:space="preserve">RevenueCat, porcentaje del MTR</t>
  </si>
  <si>
    <t xml:space="preserve">Gratis hasta 2,500 USD de MTR mensual; 1% después. MTR se mide antes de comisión de tienda</t>
  </si>
  <si>
    <t xml:space="preserve">RevenueCat, umbral gratis (USD MTR/mes)</t>
  </si>
  <si>
    <t xml:space="preserve">Se cobra 1% sobre todo el MTR al cruzar el umbral (conservador; RevenueCat podría cobrar solo sobre el excedente)</t>
  </si>
  <si>
    <t xml:space="preserve">IVA de comisiones acreditable (1 = sí, 0 = no)</t>
  </si>
  <si>
    <t xml:space="preserve">Persona física con RFC acredita el IVA que Apple, Google y Stripe cobran sobre su comisión. Si el contador dice que no, pon 0: cuesta unos 8 MXN por suscriptor</t>
  </si>
  <si>
    <t xml:space="preserve">COSTO VARIABLE POR SUSCRIPTOR PRO (USD/mes)</t>
  </si>
  <si>
    <t xml:space="preserve">ARGOS (LLM) usuario ligero</t>
  </si>
  <si>
    <t xml:space="preserve">Medido: usuarios pro/premium con 20 a 30 llamadas al mes cuestan 0.5 a 1.0 USD (argos_logs jun a sep 2026)</t>
  </si>
  <si>
    <t xml:space="preserve">ARGOS (LLM) usuario promedio</t>
  </si>
  <si>
    <t xml:space="preserve">Medición que calibró el proxy: 2.4 USD/mes = 45 MXN (comentario en argos-proxy/index.ts). Tester más intenso en agosto: 1.6 USD</t>
  </si>
  <si>
    <t xml:space="preserve">ARGOS (LLM) usuario intenso</t>
  </si>
  <si>
    <t xml:space="preserve">136 MXN al FIX de hoy (el aviso del proxy son 150 MXN a 18.75). Un profesional que usa ARGOS diario llega aquí</t>
  </si>
  <si>
    <t xml:space="preserve">Porcentaje de suscriptores intensos</t>
  </si>
  <si>
    <t xml:space="preserve">Cola de uso. Escenarios usa el promedio ponderado (fila siguiente); Unidad muestra los tres casos por separado</t>
  </si>
  <si>
    <t xml:space="preserve">ARGOS ponderado (fórmula)</t>
  </si>
  <si>
    <t xml:space="preserve">Promedio × (1 − intensos) + intenso × intensos</t>
  </si>
  <si>
    <t xml:space="preserve">Lectura de laboratorios (Sonnet 4.6 con PDF), por estudio</t>
  </si>
  <si>
    <t xml:space="preserve">Estimado: PDF de 6 páginas ~12k tokens de entrada + 3k de salida a 3/15 USD por M = 0.08; se redondea a 0.10. PENDIENTE medir con lab-parser-worker</t>
  </si>
  <si>
    <t xml:space="preserve">Estudios subidos por suscriptor Pro al mes</t>
  </si>
  <si>
    <t xml:space="preserve">Un estudio cada 2 meses en promedio; laboratorios reales se repiten cada 3 a 6 meses</t>
  </si>
  <si>
    <t xml:space="preserve">Voz ARGOS (ElevenLabs Flash, 0.05 USD por 1k caracteres)</t>
  </si>
  <si>
    <t xml:space="preserve">6,000 caracteres al mes. Medido en agosto: 3 llamadas = 0.017 USD. Sube si la voz se vuelve central</t>
  </si>
  <si>
    <t xml:space="preserve">Diagnóstico ATP automático (Sonnet 5), por generación</t>
  </si>
  <si>
    <t xml:space="preserve">~40k tokens entrada + 8k salida. Solo plan anual, 1 vez al año</t>
  </si>
  <si>
    <t xml:space="preserve">COSTO DE USUARIOS GRATIS (USD)</t>
  </si>
  <si>
    <t xml:space="preserve">Alta de usuario gratis (1 estudio + 3 mensajes ARGOS), único</t>
  </si>
  <si>
    <t xml:space="preserve">Tope 0.20 si el 100% sube estudio y manda 3 mensajes; en freemium menos del 30% completa el primer paso pesado</t>
  </si>
  <si>
    <t xml:space="preserve">Altas gratis nuevas al mes (como % de la base gratis)</t>
  </si>
  <si>
    <t xml:space="preserve">3 altas por suscriptor Pro al mes con ratio 15; alto en estado estable, bajo en lanzamiento</t>
  </si>
  <si>
    <t xml:space="preserve">Usuario gratis activo, mensual</t>
  </si>
  <si>
    <t xml:space="preserve">Casi todo idle (Supabase, egress, push). NO incluye EAS por MAU, que va aparte. Sube a 0.15 si el free recibe mensajes ARGOS recurrentes</t>
  </si>
  <si>
    <t xml:space="preserve">Usuarios gratis por cada suscriptor Pro</t>
  </si>
  <si>
    <t xml:space="preserve">Conversión free a pago 5%. Base razonable para salud freemium en MX: 4% (25 gratis); optimista 6% (15); pesimista 2% (50)</t>
  </si>
  <si>
    <t xml:space="preserve">COSTOS FIJOS MENSUALES (USD)</t>
  </si>
  <si>
    <t xml:space="preserve">Supabase Pro</t>
  </si>
  <si>
    <t xml:space="preserve">Incluye Micro compute con el crédito de 10 USD; 100k MAU; 8 GB DB</t>
  </si>
  <si>
    <t xml:space="preserve">Sentry</t>
  </si>
  <si>
    <t xml:space="preserve">Developer gratis hasta 5k errores; Team 26 USD cuando haga falta</t>
  </si>
  <si>
    <t xml:space="preserve">PostHog</t>
  </si>
  <si>
    <t xml:space="preserve">1M eventos gratis al mes</t>
  </si>
  <si>
    <t xml:space="preserve">Resend</t>
  </si>
  <si>
    <t xml:space="preserve">3,000 correos gratis al mes con tope de 100 al día; Pro 20 USD cuando el tope diario estorbe</t>
  </si>
  <si>
    <t xml:space="preserve">Expo EAS, plan Starter (USD/mes) al pasar de 1,000 MAU</t>
  </si>
  <si>
    <t xml:space="preserve">Free hasta 1,000 MAU en EAS Update; Starter incluye 3,000 MAU; después 0.005 USD por MAU. Escenarios lo aplica por escalón</t>
  </si>
  <si>
    <t xml:space="preserve">Expo EAS, MAU incluidos en Free</t>
  </si>
  <si>
    <t xml:space="preserve">Expo EAS, MAU incluidos en Starter</t>
  </si>
  <si>
    <t xml:space="preserve">Expo EAS, USD por MAU extra</t>
  </si>
  <si>
    <t xml:space="preserve">Resend Pro (USD/mes) al pasar de 1,500 usuarios totales</t>
  </si>
  <si>
    <t xml:space="preserve">3,000 correos gratis con tope de 100 al día; ~2 correos por usuario al mes</t>
  </si>
  <si>
    <t xml:space="preserve">Sentry Team (USD/mes) al pasar de 2,500 usuarios totales</t>
  </si>
  <si>
    <t xml:space="preserve">5k errores gratis; después Team</t>
  </si>
  <si>
    <t xml:space="preserve">Apple Developer Program (99 USD/año entre 12)</t>
  </si>
  <si>
    <t xml:space="preserve">Dominio, correo, otros</t>
  </si>
  <si>
    <t xml:space="preserve">Estimado</t>
  </si>
  <si>
    <t xml:space="preserve">MIX DE CANAL (suscriptores Pro)</t>
  </si>
  <si>
    <t xml:space="preserve">Porcentaje que paga por App Store</t>
  </si>
  <si>
    <t xml:space="preserve">Supuesto: iPhone domina el segmento que paga en MX</t>
  </si>
  <si>
    <t xml:space="preserve">Porcentaje que paga por Google Play</t>
  </si>
  <si>
    <t xml:space="preserve">Porcentaje que paga por Stripe (web)</t>
  </si>
  <si>
    <t xml:space="preserve">Meta: subirlo. Cada suscriptor que paga por web en vez de tienda deja 35 a 40 MXN más al mes</t>
  </si>
  <si>
    <t xml:space="preserve">Economía por suscriptor Pro al mes (MXN)</t>
  </si>
  <si>
    <t xml:space="preserve">Lo que queda de cada suscripción después de IVA, comisión del canal, RevenueCat y costo de IA. Antes de ISR (impuesto sobre la utilidad, no costo).</t>
  </si>
  <si>
    <t xml:space="preserve">Concepto</t>
  </si>
  <si>
    <t xml:space="preserve">449 App Store</t>
  </si>
  <si>
    <t xml:space="preserve">449 Google Play</t>
  </si>
  <si>
    <t xml:space="preserve">449 Stripe web</t>
  </si>
  <si>
    <t xml:space="preserve">399 App Store</t>
  </si>
  <si>
    <t xml:space="preserve">399 Google Play</t>
  </si>
  <si>
    <t xml:space="preserve">399 Stripe web</t>
  </si>
  <si>
    <t xml:space="preserve">Anual 3,990 App Store (por mes)</t>
  </si>
  <si>
    <t xml:space="preserve">Anual 3,990 Stripe (por mes)</t>
  </si>
  <si>
    <t xml:space="preserve">Precio cobrado al usuario (con IVA)</t>
  </si>
  <si>
    <t xml:space="preserve">IVA (16%) que se remite al SAT</t>
  </si>
  <si>
    <t xml:space="preserve">Ingreso sin IVA</t>
  </si>
  <si>
    <t xml:space="preserve">Comisión del canal</t>
  </si>
  <si>
    <t xml:space="preserve">Stripe: fijo por cargo</t>
  </si>
  <si>
    <t xml:space="preserve">Stripe Billing</t>
  </si>
  <si>
    <t xml:space="preserve">RevenueCat (1% del MTR, cuando aplica)</t>
  </si>
  <si>
    <t xml:space="preserve">IVA sobre comisiones si NO se acredita (Supuestos)</t>
  </si>
  <si>
    <t xml:space="preserve">Neto que te deposita el canal</t>
  </si>
  <si>
    <t xml:space="preserve">ARGOS LLM, usuario promedio (MXN)</t>
  </si>
  <si>
    <t xml:space="preserve">Lectura de laboratorios (MXN)</t>
  </si>
  <si>
    <t xml:space="preserve">Voz (MXN)</t>
  </si>
  <si>
    <t xml:space="preserve">Diagnóstico ATP automático (solo anual, prorrateado)</t>
  </si>
  <si>
    <t xml:space="preserve">Costo variable total, usuario promedio</t>
  </si>
  <si>
    <t xml:space="preserve">CONTRIBUCIÓN por suscriptor, usuario promedio</t>
  </si>
  <si>
    <t xml:space="preserve">Margen sobre ingreso sin IVA</t>
  </si>
  <si>
    <t xml:space="preserve">Contribución si el usuario es ligero</t>
  </si>
  <si>
    <t xml:space="preserve">Contribución si el usuario es intenso (136 MXN de IA)</t>
  </si>
  <si>
    <t xml:space="preserve">Punto de quiebre: gasto de IA (USD/mes) que deja contribución en cero</t>
  </si>
  <si>
    <t xml:space="preserve">Lectura: la diferencia entre 449 y 399 es de 36 a 41 MXN de contribución por suscriptor al mes. La diferencia entre cobrar en tienda o en web es parecida (35 a 40 MXN). Bajar el precio y no empujar el pago web es pagar dos veces.</t>
  </si>
  <si>
    <t xml:space="preserve">Nota RevenueCat: el 1% aplica solo cuando el MTR mensual de tiendas pasa de 2,500 USD (unos 118 suscriptores a 449 con 80% en tiendas; 94 si todos pagaran en tienda). Aquí se carga siempre para no subestimar. En web se asume Stripe directo sin RevenueCat.</t>
  </si>
  <si>
    <t xml:space="preserve">Escenarios mensuales por número de suscriptores Pro (precio A = 449, mix de canal de Supuestos)</t>
  </si>
  <si>
    <t xml:space="preserve">Resultado antes de ISR. Founders y Elite no están aquí: son ingresos aparte (ver hoja Founders).</t>
  </si>
  <si>
    <t xml:space="preserve">Suscriptores Pro mensuales</t>
  </si>
  <si>
    <t xml:space="preserve">Precio mensual usado (edítalo: 449 o 399)</t>
  </si>
  <si>
    <t xml:space="preserve">Todas las filas de abajo y el punto de equilibrio siguen a este precio</t>
  </si>
  <si>
    <t xml:space="preserve">Contador (MXN/mes)</t>
  </si>
  <si>
    <t xml:space="preserve">Estimado, no verificado (1,500 a 3,500). Plataformas tecnológicas + Stripe hacen la contabilidad más laboriosa</t>
  </si>
  <si>
    <t xml:space="preserve">Meta de ingreso personal de Enrique (MXN/mes, antes de ISR)</t>
  </si>
  <si>
    <t xml:space="preserve">Captura tu número real; el punto de equilibrio de abajo lo usa</t>
  </si>
  <si>
    <t xml:space="preserve">Cobro bruto a usuarios (con IVA)</t>
  </si>
  <si>
    <t xml:space="preserve">IVA remitido</t>
  </si>
  <si>
    <t xml:space="preserve">Comisiones de canal (mix)</t>
  </si>
  <si>
    <t xml:space="preserve">RevenueCat (solo si MTR de tiendas &gt; umbral)</t>
  </si>
  <si>
    <t xml:space="preserve">Neto depositado</t>
  </si>
  <si>
    <t xml:space="preserve">IA: ARGOS ponderado (con cola de intensos) + laboratorios + voz</t>
  </si>
  <si>
    <t xml:space="preserve">Usuarios gratis: altas del mes (% de Supuestos)</t>
  </si>
  <si>
    <t xml:space="preserve">Usuarios gratis: mensual</t>
  </si>
  <si>
    <t xml:space="preserve">Costos fijos base + escalones Resend y Sentry (USD a MXN)</t>
  </si>
  <si>
    <t xml:space="preserve">Expo EAS por escalón (Starter al pasar de 1,000 MAU, luego por MAU)</t>
  </si>
  <si>
    <t xml:space="preserve">Contador</t>
  </si>
  <si>
    <t xml:space="preserve">RESULTADO ANTES DE ISR</t>
  </si>
  <si>
    <t xml:space="preserve">Costo de IA como % del neto depositado</t>
  </si>
  <si>
    <t xml:space="preserve">Falta o sobra respecto a la meta personal</t>
  </si>
  <si>
    <t xml:space="preserve">PUNTO DE EQUILIBRIO (aproximación: contribución por suscriptor con RevenueCat siempre cargado y EAS Starter como fijo)</t>
  </si>
  <si>
    <t xml:space="preserve">Contribución por suscriptor con el mix de canal, al precio de B5 (MXN)</t>
  </si>
  <si>
    <t xml:space="preserve">Fijos mensuales (infra base + EAS Starter + contador), MXN</t>
  </si>
  <si>
    <t xml:space="preserve">Suscriptores para cubrir solo fijos y contador</t>
  </si>
  <si>
    <t xml:space="preserve">Suscriptores para cubrir fijos, contador y la meta personal (B7)</t>
  </si>
  <si>
    <t xml:space="preserve">Lo mismo si todos pagaran por web (Stripe) al precio de B5</t>
  </si>
  <si>
    <t xml:space="preserve">Lo mismo al precio B (399) con el mix</t>
  </si>
  <si>
    <t xml:space="preserve">Lo mismo al precio B (399) todo por web</t>
  </si>
  <si>
    <t xml:space="preserve">Nota: el equilibrio carga RevenueCat desde el primer suscriptor y EAS Starter como fijo; por eso sale 2 o 3 suscriptores más alto que la tabla de arriba en niveles bajos. Los escalones de Resend y Sentry (arriba de 1,500 y 2,500 usuarios totales) sí están en la tabla, no en el equilibrio. No incluye reembolsos ni pagos fallidos (2 a 5% en suscripciones) ni la hora con Enrique de Founders.</t>
  </si>
  <si>
    <t xml:space="preserve">Founders y anual: qué deja cada venta (MXN, antes de ISR)</t>
  </si>
  <si>
    <t xml:space="preserve">Founders 8,900 (pago único, cupo 50)</t>
  </si>
  <si>
    <t xml:space="preserve">Precio con IVA</t>
  </si>
  <si>
    <t xml:space="preserve">Neto si se cobra por Stripe (web, un solo cargo)</t>
  </si>
  <si>
    <t xml:space="preserve">Founders conviene venderlo por web, nunca por tienda: la diferencia es de 916 MXN por venta</t>
  </si>
  <si>
    <t xml:space="preserve">Neto si se cobra por App Store (compra única, 15%)</t>
  </si>
  <si>
    <t xml:space="preserve">Costo de IA de un Founder en 5 años (usuario promedio, 60 meses)</t>
  </si>
  <si>
    <t xml:space="preserve">Un Founder intenso agota el neto de 8,900 en unos 52 meses: a 5 años queda en negativo (B11). Por eso Founders necesita un límite de uso justo o definirse como 5 años, no vitalicio. La hora con Enrique no está costeada aquí</t>
  </si>
  <si>
    <t xml:space="preserve">Costo de IA si el Founder es intenso los 5 años</t>
  </si>
  <si>
    <t xml:space="preserve">Contribución Founder por Stripe, usuario promedio (5 años)</t>
  </si>
  <si>
    <t xml:space="preserve">Contribución Founder por Stripe, usuario intenso (5 años)</t>
  </si>
  <si>
    <t xml:space="preserve">Los 50 Founders por Stripe: neto después de IVA y comisión (la caja bruta es 445,000; el IVA se remite)</t>
  </si>
  <si>
    <t xml:space="preserve">Meses en que un Founder intenso agota el neto de Stripe</t>
  </si>
  <si>
    <t xml:space="preserve">Pro anual 3,990</t>
  </si>
  <si>
    <t xml:space="preserve">Equivalente mensual con IVA</t>
  </si>
  <si>
    <t xml:space="preserve">Descuento frente a 12 meses a 449</t>
  </si>
  <si>
    <t xml:space="preserve">Un 26% de descuento es el estándar de mercado para anual (2 a 3 meses gratis)</t>
  </si>
  <si>
    <t xml:space="preserve">Neto anual por Stripe</t>
  </si>
  <si>
    <t xml:space="preserve">Neto anual por App Store</t>
  </si>
  <si>
    <t xml:space="preserve">Costo de IA en el año (promedio) incluido el Diagnóstico ATP</t>
  </si>
  <si>
    <t xml:space="preserve">Contribución anual por Stripe</t>
  </si>
  <si>
    <t xml:space="preserve">Contribución anual por App Store</t>
  </si>
  <si>
    <t xml:space="preserve">Fuentes de cada número (vistas el 4 de septiembre de 2026)</t>
  </si>
  <si>
    <t xml:space="preserve">Dato</t>
  </si>
  <si>
    <t xml:space="preserve">Fuente</t>
  </si>
  <si>
    <t xml:space="preserve">Nota</t>
  </si>
  <si>
    <t xml:space="preserve">Apple, Small Business Program 15%</t>
  </si>
  <si>
    <t xml:space="preserve">https://developer.apple.com/app-store/small-business-program/</t>
  </si>
  <si>
    <t xml:space="preserve">Menos de 1M USD de proceeds al año</t>
  </si>
  <si>
    <t xml:space="preserve">Apple, suscripciones 70/85</t>
  </si>
  <si>
    <t xml:space="preserve">https://developer.apple.com/app-store/subscriptions/</t>
  </si>
  <si>
    <t xml:space="preserve">85% después del año 1; con SBP 85% desde el mes 1</t>
  </si>
  <si>
    <t xml:space="preserve">Apple, IVA México sobre precio sin IVA</t>
  </si>
  <si>
    <t xml:space="preserve">https://developer.apple.com/news/?id=oyy56t2r</t>
  </si>
  <si>
    <t xml:space="preserve">Comisión calculada sobre precio sin IVA; Apple remite el IVA</t>
  </si>
  <si>
    <t xml:space="preserve">Google Play, 15% suscripciones</t>
  </si>
  <si>
    <t xml:space="preserve">https://support.google.com/googleplay/android-developer/answer/112622</t>
  </si>
  <si>
    <t xml:space="preserve">Sin cambio para México en 2026</t>
  </si>
  <si>
    <t xml:space="preserve">Google Play, IVA México</t>
  </si>
  <si>
    <t xml:space="preserve">https://support.google.com/googleplay/android-developer/answer/138000</t>
  </si>
  <si>
    <t xml:space="preserve">Desarrollador en México remite el IVA de la venta; Google cobra IVA sobre su comisión</t>
  </si>
  <si>
    <t xml:space="preserve">Stripe México</t>
  </si>
  <si>
    <t xml:space="preserve">https://stripe.com/mx/pricing</t>
  </si>
  <si>
    <t xml:space="preserve">3.6% + 3 MXN, Billing 0.7%, todo más IVA</t>
  </si>
  <si>
    <t xml:space="preserve">RevenueCat</t>
  </si>
  <si>
    <t xml:space="preserve">https://www.revenuecat.com/pricing/</t>
  </si>
  <si>
    <t xml:space="preserve">Gratis hasta 2,500 USD MTR; 1% después</t>
  </si>
  <si>
    <t xml:space="preserve">Supabase</t>
  </si>
  <si>
    <t xml:space="preserve">https://supabase.com/pricing</t>
  </si>
  <si>
    <t xml:space="preserve">Pro 25 USD; 100k MAU; egress 250 GB</t>
  </si>
  <si>
    <t xml:space="preserve">Anthropic, Claude Sonnet 5</t>
  </si>
  <si>
    <t xml:space="preserve">https://platform.claude.com/docs/en/about-claude/pricing</t>
  </si>
  <si>
    <t xml:space="preserve">2 / 10 USD por M tokens; Sonnet 4.6: 3 / 15</t>
  </si>
  <si>
    <t xml:space="preserve">Gemini Flash</t>
  </si>
  <si>
    <t xml:space="preserve">https://ai.google.dev/gemini-api/docs/pricing</t>
  </si>
  <si>
    <t xml:space="preserve">2.5 Flash 0.30 / 2.50 (respaldo del proxy)</t>
  </si>
  <si>
    <t xml:space="preserve">ElevenLabs</t>
  </si>
  <si>
    <t xml:space="preserve">https://elevenlabs.io/pricing/api</t>
  </si>
  <si>
    <t xml:space="preserve">Flash v2.5 0.05 USD por 1k caracteres</t>
  </si>
  <si>
    <t xml:space="preserve">https://sentry.io/pricing/</t>
  </si>
  <si>
    <t xml:space="preserve">Developer gratis; Team 26 USD</t>
  </si>
  <si>
    <t xml:space="preserve">https://posthog.com/pricing</t>
  </si>
  <si>
    <t xml:space="preserve">1M eventos gratis</t>
  </si>
  <si>
    <t xml:space="preserve">https://resend.com/pricing</t>
  </si>
  <si>
    <t xml:space="preserve">3,000 gratis, 100 al día; Pro 20 USD</t>
  </si>
  <si>
    <t xml:space="preserve">Expo EAS</t>
  </si>
  <si>
    <t xml:space="preserve">https://expo.dev/pricing</t>
  </si>
  <si>
    <t xml:space="preserve">Free 1,000 MAU; Starter 19 USD; 0.005 USD por MAU extra</t>
  </si>
  <si>
    <t xml:space="preserve">Banxico FIX</t>
  </si>
  <si>
    <t xml:space="preserve">https://dof.gob.mx/indicadores.php</t>
  </si>
  <si>
    <t xml:space="preserve">16.956 MXN por USD, 3 sep 2026</t>
  </si>
  <si>
    <t xml:space="preserve">ARGOS medido</t>
  </si>
  <si>
    <t xml:space="preserve">argos_logs (Supabase, jun a sep 2026) y comentario en supabase/functions/argos-proxy/index.ts</t>
  </si>
  <si>
    <t xml:space="preserve">2.4 USD/mes promedio calibrado; tester intenso 1.6 a 1.8 USD/mes en jul y ago; llamada premium promedio 0.023 a 0.035 USD</t>
  </si>
  <si>
    <t xml:space="preserve">Umbrales del proxy</t>
  </si>
  <si>
    <t xml:space="preserve">supabase/functions/argos-proxy/index.ts</t>
  </si>
  <si>
    <t xml:space="preserve">Aviso 150 MXN/mes por usuario; corte antifraude 500 MXN/día; reserva 0.006 USD por llamada</t>
  </si>
  <si>
    <t xml:space="preserve">Lectura de laboratorios</t>
  </si>
  <si>
    <t xml:space="preserve">supabase/functions/lab-parser-worker/index.ts</t>
  </si>
  <si>
    <t xml:space="preserve">Sonnet 4.6 con PDF en base64. Costo por estudio ESTIMADO, no medido: pendiente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</si>
</sst>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"/>
    <numFmt numFmtId="167" formatCode="0.0000"/>
    <numFmt numFmtId="168" formatCode="\$#,##0.00;&quot;($&quot;#,##0.00\);\-"/>
    <numFmt numFmtId="169" formatCode="&quot;US$&quot;#,##0.00;&quot;(US$&quot;#,##0.00\);\-"/>
    <numFmt numFmtId="170" formatCode="0"/>
    <numFmt numFmtId="171" formatCode="0.00"/>
    <numFmt numFmtId="172" formatCode="#,##0;\(#,##0\);\-"/>
    <numFmt numFmtId="173" formatCode="0.000"/>
    <numFmt numFmtId="174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  <c r="B6" s="4" t="n">
        <v>449</v>
      </c>
      <c r="D6" s="2" t="s">
        <v>5</v>
      </c>
    </row>
    <row r="7" customFormat="false" ht="15" hidden="false" customHeight="false" outlineLevel="0" collapsed="false">
      <c r="A7" s="2" t="s">
        <v>6</v>
      </c>
      <c r="B7" s="4" t="n">
        <v>399</v>
      </c>
      <c r="D7" s="2" t="s">
        <v>7</v>
      </c>
    </row>
    <row r="8" customFormat="false" ht="15" hidden="false" customHeight="false" outlineLevel="0" collapsed="false">
      <c r="A8" s="2" t="s">
        <v>8</v>
      </c>
      <c r="B8" s="4" t="n">
        <v>3990</v>
      </c>
      <c r="D8" s="2" t="s">
        <v>9</v>
      </c>
    </row>
    <row r="9" customFormat="false" ht="15" hidden="false" customHeight="false" outlineLevel="0" collapsed="false">
      <c r="A9" s="2" t="s">
        <v>10</v>
      </c>
      <c r="B9" s="4" t="n">
        <v>8900</v>
      </c>
      <c r="D9" s="2" t="s">
        <v>11</v>
      </c>
    </row>
    <row r="10" customFormat="false" ht="15" hidden="false" customHeight="false" outlineLevel="0" collapsed="false">
      <c r="A10" s="2" t="s">
        <v>12</v>
      </c>
      <c r="B10" s="5" t="n">
        <v>0.16</v>
      </c>
      <c r="D10" s="2" t="s">
        <v>13</v>
      </c>
    </row>
    <row r="11" customFormat="false" ht="15" hidden="false" customHeight="false" outlineLevel="0" collapsed="false">
      <c r="A11" s="2" t="s">
        <v>14</v>
      </c>
      <c r="B11" s="6" t="n">
        <v>16.956</v>
      </c>
      <c r="D11" s="2" t="s">
        <v>15</v>
      </c>
    </row>
    <row r="12" customFormat="false" ht="15" hidden="false" customHeight="false" outlineLevel="0" collapsed="false">
      <c r="A12" s="3" t="s">
        <v>16</v>
      </c>
    </row>
    <row r="13" customFormat="false" ht="15" hidden="false" customHeight="false" outlineLevel="0" collapsed="false">
      <c r="A13" s="2" t="s">
        <v>17</v>
      </c>
      <c r="B13" s="5" t="n">
        <v>0.15</v>
      </c>
      <c r="D13" s="2" t="s">
        <v>18</v>
      </c>
    </row>
    <row r="14" customFormat="false" ht="15" hidden="false" customHeight="false" outlineLevel="0" collapsed="false">
      <c r="A14" s="2" t="s">
        <v>19</v>
      </c>
      <c r="B14" s="5" t="n">
        <v>0.15</v>
      </c>
      <c r="D14" s="2" t="s">
        <v>20</v>
      </c>
    </row>
    <row r="15" customFormat="false" ht="15" hidden="false" customHeight="false" outlineLevel="0" collapsed="false">
      <c r="A15" s="2" t="s">
        <v>21</v>
      </c>
      <c r="B15" s="5" t="n">
        <v>0.036</v>
      </c>
      <c r="D15" s="2" t="s">
        <v>22</v>
      </c>
    </row>
    <row r="16" customFormat="false" ht="15" hidden="false" customHeight="false" outlineLevel="0" collapsed="false">
      <c r="A16" s="2" t="s">
        <v>23</v>
      </c>
      <c r="B16" s="7" t="n">
        <v>3</v>
      </c>
      <c r="D16" s="2" t="s">
        <v>24</v>
      </c>
    </row>
    <row r="17" customFormat="false" ht="15" hidden="false" customHeight="false" outlineLevel="0" collapsed="false">
      <c r="A17" s="2" t="s">
        <v>25</v>
      </c>
      <c r="B17" s="5" t="n">
        <v>0.007</v>
      </c>
      <c r="D17" s="2" t="s">
        <v>26</v>
      </c>
    </row>
    <row r="18" customFormat="false" ht="15" hidden="false" customHeight="false" outlineLevel="0" collapsed="false">
      <c r="A18" s="2" t="s">
        <v>27</v>
      </c>
      <c r="B18" s="5" t="n">
        <v>0.01</v>
      </c>
      <c r="D18" s="2" t="s">
        <v>28</v>
      </c>
    </row>
    <row r="19" customFormat="false" ht="15" hidden="false" customHeight="false" outlineLevel="0" collapsed="false">
      <c r="A19" s="2" t="s">
        <v>29</v>
      </c>
      <c r="B19" s="8" t="n">
        <v>2500</v>
      </c>
      <c r="D19" s="2" t="s">
        <v>30</v>
      </c>
    </row>
    <row r="20" customFormat="false" ht="15" hidden="false" customHeight="false" outlineLevel="0" collapsed="false">
      <c r="A20" s="2" t="s">
        <v>31</v>
      </c>
      <c r="B20" s="9" t="n">
        <v>1</v>
      </c>
      <c r="D20" s="2" t="s">
        <v>32</v>
      </c>
    </row>
    <row r="21" customFormat="false" ht="15" hidden="false" customHeight="false" outlineLevel="0" collapsed="false">
      <c r="A21" s="3" t="s">
        <v>33</v>
      </c>
    </row>
    <row r="22" customFormat="false" ht="15" hidden="false" customHeight="false" outlineLevel="0" collapsed="false">
      <c r="A22" s="2" t="s">
        <v>34</v>
      </c>
      <c r="B22" s="8" t="n">
        <v>0.8</v>
      </c>
      <c r="D22" s="2" t="s">
        <v>35</v>
      </c>
    </row>
    <row r="23" customFormat="false" ht="15" hidden="false" customHeight="false" outlineLevel="0" collapsed="false">
      <c r="A23" s="2" t="s">
        <v>36</v>
      </c>
      <c r="B23" s="8" t="n">
        <v>2.4</v>
      </c>
      <c r="D23" s="2" t="s">
        <v>37</v>
      </c>
    </row>
    <row r="24" customFormat="false" ht="15" hidden="false" customHeight="false" outlineLevel="0" collapsed="false">
      <c r="A24" s="2" t="s">
        <v>38</v>
      </c>
      <c r="B24" s="8" t="n">
        <v>8</v>
      </c>
      <c r="D24" s="2" t="s">
        <v>39</v>
      </c>
    </row>
    <row r="25" customFormat="false" ht="15" hidden="false" customHeight="false" outlineLevel="0" collapsed="false">
      <c r="A25" s="2" t="s">
        <v>40</v>
      </c>
      <c r="B25" s="5" t="n">
        <v>0.1</v>
      </c>
      <c r="D25" s="2" t="s">
        <v>41</v>
      </c>
    </row>
    <row r="26" customFormat="false" ht="15" hidden="false" customHeight="false" outlineLevel="0" collapsed="false">
      <c r="A26" s="2" t="s">
        <v>42</v>
      </c>
      <c r="B26" s="10" t="n">
        <f aca="false">$B$23*(1-$B$25)+$B$24*$B$25</f>
        <v>2.96</v>
      </c>
      <c r="D26" s="2" t="s">
        <v>43</v>
      </c>
    </row>
    <row r="27" customFormat="false" ht="15" hidden="false" customHeight="false" outlineLevel="0" collapsed="false">
      <c r="A27" s="2" t="s">
        <v>44</v>
      </c>
      <c r="B27" s="8" t="n">
        <v>0.1</v>
      </c>
      <c r="D27" s="2" t="s">
        <v>45</v>
      </c>
    </row>
    <row r="28" customFormat="false" ht="15" hidden="false" customHeight="false" outlineLevel="0" collapsed="false">
      <c r="A28" s="2" t="s">
        <v>46</v>
      </c>
      <c r="B28" s="11" t="n">
        <v>0.5</v>
      </c>
      <c r="D28" s="2" t="s">
        <v>47</v>
      </c>
    </row>
    <row r="29" customFormat="false" ht="15" hidden="false" customHeight="false" outlineLevel="0" collapsed="false">
      <c r="A29" s="2" t="s">
        <v>48</v>
      </c>
      <c r="B29" s="8" t="n">
        <v>0.3</v>
      </c>
      <c r="D29" s="2" t="s">
        <v>49</v>
      </c>
    </row>
    <row r="30" customFormat="false" ht="15" hidden="false" customHeight="false" outlineLevel="0" collapsed="false">
      <c r="A30" s="2" t="s">
        <v>50</v>
      </c>
      <c r="B30" s="8" t="n">
        <v>0.2</v>
      </c>
      <c r="D30" s="2" t="s">
        <v>51</v>
      </c>
    </row>
    <row r="31" customFormat="false" ht="15" hidden="false" customHeight="false" outlineLevel="0" collapsed="false">
      <c r="A31" s="3" t="s">
        <v>52</v>
      </c>
    </row>
    <row r="32" customFormat="false" ht="15" hidden="false" customHeight="false" outlineLevel="0" collapsed="false">
      <c r="A32" s="2" t="s">
        <v>53</v>
      </c>
      <c r="B32" s="8" t="n">
        <v>0.1</v>
      </c>
      <c r="D32" s="2" t="s">
        <v>54</v>
      </c>
    </row>
    <row r="33" customFormat="false" ht="15" hidden="false" customHeight="false" outlineLevel="0" collapsed="false">
      <c r="A33" s="2" t="s">
        <v>55</v>
      </c>
      <c r="B33" s="5" t="n">
        <v>0.2</v>
      </c>
      <c r="D33" s="2" t="s">
        <v>56</v>
      </c>
    </row>
    <row r="34" customFormat="false" ht="15" hidden="false" customHeight="false" outlineLevel="0" collapsed="false">
      <c r="A34" s="2" t="s">
        <v>57</v>
      </c>
      <c r="B34" s="8" t="n">
        <v>0.03</v>
      </c>
      <c r="D34" s="2" t="s">
        <v>58</v>
      </c>
    </row>
    <row r="35" customFormat="false" ht="15" hidden="false" customHeight="false" outlineLevel="0" collapsed="false">
      <c r="A35" s="2" t="s">
        <v>59</v>
      </c>
      <c r="B35" s="9" t="n">
        <v>20</v>
      </c>
      <c r="D35" s="2" t="s">
        <v>60</v>
      </c>
    </row>
    <row r="36" customFormat="false" ht="15" hidden="false" customHeight="false" outlineLevel="0" collapsed="false">
      <c r="A36" s="3" t="s">
        <v>61</v>
      </c>
    </row>
    <row r="37" customFormat="false" ht="15" hidden="false" customHeight="false" outlineLevel="0" collapsed="false">
      <c r="A37" s="2" t="s">
        <v>62</v>
      </c>
      <c r="B37" s="8" t="n">
        <v>25</v>
      </c>
      <c r="D37" s="2" t="s">
        <v>63</v>
      </c>
    </row>
    <row r="38" customFormat="false" ht="15" hidden="false" customHeight="false" outlineLevel="0" collapsed="false">
      <c r="A38" s="2" t="s">
        <v>64</v>
      </c>
      <c r="B38" s="8" t="n">
        <v>0</v>
      </c>
      <c r="D38" s="2" t="s">
        <v>65</v>
      </c>
    </row>
    <row r="39" customFormat="false" ht="15" hidden="false" customHeight="false" outlineLevel="0" collapsed="false">
      <c r="A39" s="2" t="s">
        <v>66</v>
      </c>
      <c r="B39" s="8" t="n">
        <v>0</v>
      </c>
      <c r="D39" s="2" t="s">
        <v>67</v>
      </c>
    </row>
    <row r="40" customFormat="false" ht="15" hidden="false" customHeight="false" outlineLevel="0" collapsed="false">
      <c r="A40" s="2" t="s">
        <v>68</v>
      </c>
      <c r="B40" s="8" t="n">
        <v>0</v>
      </c>
      <c r="D40" s="2" t="s">
        <v>69</v>
      </c>
    </row>
    <row r="41" customFormat="false" ht="15" hidden="false" customHeight="false" outlineLevel="0" collapsed="false">
      <c r="A41" s="2" t="s">
        <v>70</v>
      </c>
      <c r="B41" s="8" t="n">
        <v>19</v>
      </c>
      <c r="D41" s="2" t="s">
        <v>71</v>
      </c>
    </row>
    <row r="42" customFormat="false" ht="15" hidden="false" customHeight="false" outlineLevel="0" collapsed="false">
      <c r="A42" s="2" t="s">
        <v>72</v>
      </c>
      <c r="B42" s="12" t="n">
        <v>1000</v>
      </c>
      <c r="D42" s="2"/>
    </row>
    <row r="43" customFormat="false" ht="15" hidden="false" customHeight="false" outlineLevel="0" collapsed="false">
      <c r="A43" s="2" t="s">
        <v>73</v>
      </c>
      <c r="B43" s="12" t="n">
        <v>3000</v>
      </c>
      <c r="D43" s="2"/>
    </row>
    <row r="44" customFormat="false" ht="15" hidden="false" customHeight="false" outlineLevel="0" collapsed="false">
      <c r="A44" s="2" t="s">
        <v>74</v>
      </c>
      <c r="B44" s="13" t="n">
        <v>0.005</v>
      </c>
      <c r="D44" s="2"/>
    </row>
    <row r="45" customFormat="false" ht="15" hidden="false" customHeight="false" outlineLevel="0" collapsed="false">
      <c r="A45" s="2" t="s">
        <v>75</v>
      </c>
      <c r="B45" s="8" t="n">
        <v>20</v>
      </c>
      <c r="D45" s="2" t="s">
        <v>76</v>
      </c>
    </row>
    <row r="46" customFormat="false" ht="15" hidden="false" customHeight="false" outlineLevel="0" collapsed="false">
      <c r="A46" s="2" t="s">
        <v>77</v>
      </c>
      <c r="B46" s="8" t="n">
        <v>26</v>
      </c>
      <c r="D46" s="2" t="s">
        <v>78</v>
      </c>
    </row>
    <row r="47" customFormat="false" ht="15" hidden="false" customHeight="false" outlineLevel="0" collapsed="false">
      <c r="A47" s="2" t="s">
        <v>79</v>
      </c>
      <c r="B47" s="8" t="n">
        <v>8.25</v>
      </c>
      <c r="D47" s="2"/>
    </row>
    <row r="48" customFormat="false" ht="15" hidden="false" customHeight="false" outlineLevel="0" collapsed="false">
      <c r="A48" s="2" t="s">
        <v>80</v>
      </c>
      <c r="B48" s="8" t="n">
        <v>10</v>
      </c>
      <c r="D48" s="2" t="s">
        <v>81</v>
      </c>
    </row>
    <row r="49" customFormat="false" ht="15" hidden="false" customHeight="false" outlineLevel="0" collapsed="false">
      <c r="A49" s="3" t="s">
        <v>82</v>
      </c>
    </row>
    <row r="50" customFormat="false" ht="15" hidden="false" customHeight="false" outlineLevel="0" collapsed="false">
      <c r="A50" s="2" t="s">
        <v>83</v>
      </c>
      <c r="B50" s="5" t="n">
        <v>0.45</v>
      </c>
      <c r="D50" s="2" t="s">
        <v>84</v>
      </c>
    </row>
    <row r="51" customFormat="false" ht="15" hidden="false" customHeight="false" outlineLevel="0" collapsed="false">
      <c r="A51" s="2" t="s">
        <v>85</v>
      </c>
      <c r="B51" s="5" t="n">
        <v>0.35</v>
      </c>
      <c r="D51" s="2"/>
    </row>
    <row r="52" customFormat="false" ht="15" hidden="false" customHeight="false" outlineLevel="0" collapsed="false">
      <c r="A52" s="2" t="s">
        <v>86</v>
      </c>
      <c r="B52" s="5" t="n">
        <v>0.2</v>
      </c>
      <c r="D52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31.5" hidden="false" customHeight="true" outlineLevel="0" collapsed="false">
      <c r="A4" s="14" t="s">
        <v>90</v>
      </c>
      <c r="B4" s="14" t="s">
        <v>91</v>
      </c>
      <c r="C4" s="14" t="s">
        <v>92</v>
      </c>
      <c r="D4" s="14" t="s">
        <v>93</v>
      </c>
      <c r="E4" s="14" t="s">
        <v>94</v>
      </c>
      <c r="F4" s="14" t="s">
        <v>95</v>
      </c>
      <c r="G4" s="14" t="s">
        <v>96</v>
      </c>
      <c r="H4" s="14" t="s">
        <v>97</v>
      </c>
      <c r="I4" s="14" t="s">
        <v>98</v>
      </c>
    </row>
    <row r="5" customFormat="false" ht="15" hidden="false" customHeight="false" outlineLevel="0" collapsed="false">
      <c r="A5" s="2" t="s">
        <v>99</v>
      </c>
      <c r="B5" s="15" t="n">
        <f aca="false">Supuestos!$B$6</f>
        <v>449</v>
      </c>
      <c r="C5" s="15" t="n">
        <f aca="false">Supuestos!$B$6</f>
        <v>449</v>
      </c>
      <c r="D5" s="15" t="n">
        <f aca="false">Supuestos!$B$6</f>
        <v>449</v>
      </c>
      <c r="E5" s="15" t="n">
        <f aca="false">Supuestos!$B$7</f>
        <v>399</v>
      </c>
      <c r="F5" s="15" t="n">
        <f aca="false">Supuestos!$B$7</f>
        <v>399</v>
      </c>
      <c r="G5" s="15" t="n">
        <f aca="false">Supuestos!$B$7</f>
        <v>399</v>
      </c>
      <c r="H5" s="15" t="n">
        <f aca="false">Supuestos!$B$8/12</f>
        <v>332.5</v>
      </c>
      <c r="I5" s="15" t="n">
        <f aca="false">Supuestos!$B$8/12</f>
        <v>332.5</v>
      </c>
    </row>
    <row r="6" customFormat="false" ht="15" hidden="false" customHeight="false" outlineLevel="0" collapsed="false">
      <c r="A6" s="2" t="s">
        <v>100</v>
      </c>
      <c r="B6" s="15" t="n">
        <f aca="false">B5-B5/(1+Supuestos!$B$10)</f>
        <v>61.9310344827586</v>
      </c>
      <c r="C6" s="15" t="n">
        <f aca="false">C5-C5/(1+Supuestos!$B$10)</f>
        <v>61.9310344827586</v>
      </c>
      <c r="D6" s="15" t="n">
        <f aca="false">D5-D5/(1+Supuestos!$B$10)</f>
        <v>61.9310344827586</v>
      </c>
      <c r="E6" s="15" t="n">
        <f aca="false">E5-E5/(1+Supuestos!$B$10)</f>
        <v>55.0344827586206</v>
      </c>
      <c r="F6" s="15" t="n">
        <f aca="false">F5-F5/(1+Supuestos!$B$10)</f>
        <v>55.0344827586206</v>
      </c>
      <c r="G6" s="15" t="n">
        <f aca="false">G5-G5/(1+Supuestos!$B$10)</f>
        <v>55.0344827586206</v>
      </c>
      <c r="H6" s="15" t="n">
        <f aca="false">H5-H5/(1+Supuestos!$B$10)</f>
        <v>45.8620689655172</v>
      </c>
      <c r="I6" s="15" t="n">
        <f aca="false">I5-I5/(1+Supuestos!$B$10)</f>
        <v>45.8620689655172</v>
      </c>
    </row>
    <row r="7" customFormat="false" ht="15" hidden="false" customHeight="false" outlineLevel="0" collapsed="false">
      <c r="A7" s="2" t="s">
        <v>101</v>
      </c>
      <c r="B7" s="15" t="n">
        <f aca="false">B5-B6</f>
        <v>387.068965517241</v>
      </c>
      <c r="C7" s="15" t="n">
        <f aca="false">C5-C6</f>
        <v>387.068965517241</v>
      </c>
      <c r="D7" s="15" t="n">
        <f aca="false">D5-D6</f>
        <v>387.068965517241</v>
      </c>
      <c r="E7" s="15" t="n">
        <f aca="false">E5-E6</f>
        <v>343.965517241379</v>
      </c>
      <c r="F7" s="15" t="n">
        <f aca="false">F5-F6</f>
        <v>343.965517241379</v>
      </c>
      <c r="G7" s="15" t="n">
        <f aca="false">G5-G6</f>
        <v>343.965517241379</v>
      </c>
      <c r="H7" s="15" t="n">
        <f aca="false">H5-H6</f>
        <v>286.637931034483</v>
      </c>
      <c r="I7" s="15" t="n">
        <f aca="false">I5-I6</f>
        <v>286.637931034483</v>
      </c>
    </row>
    <row r="8" customFormat="false" ht="15" hidden="false" customHeight="false" outlineLevel="0" collapsed="false">
      <c r="A8" s="2" t="s">
        <v>102</v>
      </c>
      <c r="B8" s="15" t="n">
        <f aca="false">B7*Supuestos!$B$13</f>
        <v>58.0603448275862</v>
      </c>
      <c r="C8" s="15" t="n">
        <f aca="false">C7*Supuestos!$B$14</f>
        <v>58.0603448275862</v>
      </c>
      <c r="D8" s="15" t="n">
        <f aca="false">D5*Supuestos!$B$15</f>
        <v>16.164</v>
      </c>
      <c r="E8" s="15" t="n">
        <f aca="false">E7*Supuestos!$B$13</f>
        <v>51.5948275862069</v>
      </c>
      <c r="F8" s="15" t="n">
        <f aca="false">F7*Supuestos!$B$14</f>
        <v>51.5948275862069</v>
      </c>
      <c r="G8" s="15" t="n">
        <f aca="false">G5*Supuestos!$B$15</f>
        <v>14.364</v>
      </c>
      <c r="H8" s="15" t="n">
        <f aca="false">H7*Supuestos!$B$13</f>
        <v>42.9956896551724</v>
      </c>
      <c r="I8" s="15" t="n">
        <f aca="false">I5*Supuestos!$B$15</f>
        <v>11.97</v>
      </c>
    </row>
    <row r="9" customFormat="false" ht="15" hidden="false" customHeight="false" outlineLevel="0" collapsed="false">
      <c r="A9" s="2" t="s">
        <v>103</v>
      </c>
      <c r="B9" s="15" t="n">
        <v>0</v>
      </c>
      <c r="C9" s="15" t="n">
        <v>0</v>
      </c>
      <c r="D9" s="15" t="n">
        <f aca="false">Supuestos!$B$16</f>
        <v>3</v>
      </c>
      <c r="E9" s="15" t="n">
        <v>0</v>
      </c>
      <c r="F9" s="15" t="n">
        <v>0</v>
      </c>
      <c r="G9" s="15" t="n">
        <f aca="false">Supuestos!$B$16</f>
        <v>3</v>
      </c>
      <c r="H9" s="15" t="n">
        <v>0</v>
      </c>
      <c r="I9" s="15" t="n">
        <f aca="false">Supuestos!$B$16</f>
        <v>3</v>
      </c>
    </row>
    <row r="10" customFormat="false" ht="15" hidden="false" customHeight="false" outlineLevel="0" collapsed="false">
      <c r="A10" s="2" t="s">
        <v>104</v>
      </c>
      <c r="B10" s="15" t="n">
        <v>0</v>
      </c>
      <c r="C10" s="15" t="n">
        <v>0</v>
      </c>
      <c r="D10" s="15" t="n">
        <f aca="false">D5*Supuestos!$B$17</f>
        <v>3.143</v>
      </c>
      <c r="E10" s="15" t="n">
        <v>0</v>
      </c>
      <c r="F10" s="15" t="n">
        <v>0</v>
      </c>
      <c r="G10" s="15" t="n">
        <f aca="false">G5*Supuestos!$B$17</f>
        <v>2.793</v>
      </c>
      <c r="H10" s="15" t="n">
        <v>0</v>
      </c>
      <c r="I10" s="15" t="n">
        <f aca="false">I5*Supuestos!$B$17</f>
        <v>2.3275</v>
      </c>
    </row>
    <row r="11" customFormat="false" ht="15" hidden="false" customHeight="false" outlineLevel="0" collapsed="false">
      <c r="A11" s="2" t="s">
        <v>105</v>
      </c>
      <c r="B11" s="15" t="n">
        <f aca="false">B5*Supuestos!$B$18</f>
        <v>4.49</v>
      </c>
      <c r="C11" s="15" t="n">
        <f aca="false">C5*Supuestos!$B$18</f>
        <v>4.49</v>
      </c>
      <c r="D11" s="15" t="n">
        <v>0</v>
      </c>
      <c r="E11" s="15" t="n">
        <f aca="false">E5*Supuestos!$B$18</f>
        <v>3.99</v>
      </c>
      <c r="F11" s="15" t="n">
        <f aca="false">F5*Supuestos!$B$18</f>
        <v>3.99</v>
      </c>
      <c r="G11" s="15" t="n">
        <v>0</v>
      </c>
      <c r="H11" s="15" t="n">
        <f aca="false">H5*Supuestos!$B$18</f>
        <v>3.325</v>
      </c>
      <c r="I11" s="15" t="n">
        <v>0</v>
      </c>
    </row>
    <row r="12" customFormat="false" ht="15" hidden="false" customHeight="false" outlineLevel="0" collapsed="false">
      <c r="A12" s="2" t="s">
        <v>106</v>
      </c>
      <c r="B12" s="15" t="n">
        <f aca="false">(1-Supuestos!$B$20)*Supuestos!$B$10*(B8+B9+B10)</f>
        <v>0</v>
      </c>
      <c r="C12" s="15" t="n">
        <f aca="false">(1-Supuestos!$B$20)*Supuestos!$B$10*(C8+C9+C10)</f>
        <v>0</v>
      </c>
      <c r="D12" s="15" t="n">
        <f aca="false">(1-Supuestos!$B$20)*Supuestos!$B$10*(D8+D9+D10)</f>
        <v>0</v>
      </c>
      <c r="E12" s="15" t="n">
        <f aca="false">(1-Supuestos!$B$20)*Supuestos!$B$10*(E8+E9+E10)</f>
        <v>0</v>
      </c>
      <c r="F12" s="15" t="n">
        <f aca="false">(1-Supuestos!$B$20)*Supuestos!$B$10*(F8+F9+F10)</f>
        <v>0</v>
      </c>
      <c r="G12" s="15" t="n">
        <f aca="false">(1-Supuestos!$B$20)*Supuestos!$B$10*(G8+G9+G10)</f>
        <v>0</v>
      </c>
      <c r="H12" s="15" t="n">
        <f aca="false">(1-Supuestos!$B$20)*Supuestos!$B$10*(H8+H9+H10)</f>
        <v>0</v>
      </c>
      <c r="I12" s="15" t="n">
        <f aca="false">(1-Supuestos!$B$20)*Supuestos!$B$10*(I8+I9+I10)</f>
        <v>0</v>
      </c>
    </row>
    <row r="13" customFormat="false" ht="15" hidden="false" customHeight="false" outlineLevel="0" collapsed="false">
      <c r="A13" s="16" t="s">
        <v>107</v>
      </c>
      <c r="B13" s="15" t="n">
        <f aca="false">B7-B8-B9-B10-B11-B12</f>
        <v>324.518620689655</v>
      </c>
      <c r="C13" s="15" t="n">
        <f aca="false">C7-C8-C9-C10-C11-C12</f>
        <v>324.518620689655</v>
      </c>
      <c r="D13" s="15" t="n">
        <f aca="false">D7-D8-D9-D10-D11-D12</f>
        <v>364.761965517241</v>
      </c>
      <c r="E13" s="15" t="n">
        <f aca="false">E7-E8-E9-E10-E11-E12</f>
        <v>288.380689655172</v>
      </c>
      <c r="F13" s="15" t="n">
        <f aca="false">F7-F8-F9-F10-F11-F12</f>
        <v>288.380689655172</v>
      </c>
      <c r="G13" s="15" t="n">
        <f aca="false">G7-G8-G9-G10-G11-G12</f>
        <v>323.808517241379</v>
      </c>
      <c r="H13" s="15" t="n">
        <f aca="false">H7-H8-H9-H10-H11-H12</f>
        <v>240.31724137931</v>
      </c>
      <c r="I13" s="15" t="n">
        <f aca="false">I7-I8-I9-I10-I11-I12</f>
        <v>269.340431034483</v>
      </c>
    </row>
    <row r="14" customFormat="false" ht="15" hidden="false" customHeight="false" outlineLevel="0" collapsed="false">
      <c r="A14" s="2" t="s">
        <v>108</v>
      </c>
      <c r="B14" s="15" t="n">
        <f aca="false">Supuestos!$B$23*Supuestos!$B$11</f>
        <v>40.6944</v>
      </c>
      <c r="C14" s="15" t="n">
        <f aca="false">Supuestos!$B$23*Supuestos!$B$11</f>
        <v>40.6944</v>
      </c>
      <c r="D14" s="15" t="n">
        <f aca="false">Supuestos!$B$23*Supuestos!$B$11</f>
        <v>40.6944</v>
      </c>
      <c r="E14" s="15" t="n">
        <f aca="false">Supuestos!$B$23*Supuestos!$B$11</f>
        <v>40.6944</v>
      </c>
      <c r="F14" s="15" t="n">
        <f aca="false">Supuestos!$B$23*Supuestos!$B$11</f>
        <v>40.6944</v>
      </c>
      <c r="G14" s="15" t="n">
        <f aca="false">Supuestos!$B$23*Supuestos!$B$11</f>
        <v>40.6944</v>
      </c>
      <c r="H14" s="15" t="n">
        <f aca="false">Supuestos!$B$23*Supuestos!$B$11</f>
        <v>40.6944</v>
      </c>
      <c r="I14" s="15" t="n">
        <f aca="false">Supuestos!$B$23*Supuestos!$B$11</f>
        <v>40.6944</v>
      </c>
    </row>
    <row r="15" customFormat="false" ht="15" hidden="false" customHeight="false" outlineLevel="0" collapsed="false">
      <c r="A15" s="2" t="s">
        <v>109</v>
      </c>
      <c r="B15" s="15" t="n">
        <f aca="false">Supuestos!$B$27*Supuestos!$B$28*Supuestos!$B$11</f>
        <v>0.8478</v>
      </c>
      <c r="C15" s="15" t="n">
        <f aca="false">Supuestos!$B$27*Supuestos!$B$28*Supuestos!$B$11</f>
        <v>0.8478</v>
      </c>
      <c r="D15" s="15" t="n">
        <f aca="false">Supuestos!$B$27*Supuestos!$B$28*Supuestos!$B$11</f>
        <v>0.8478</v>
      </c>
      <c r="E15" s="15" t="n">
        <f aca="false">Supuestos!$B$27*Supuestos!$B$28*Supuestos!$B$11</f>
        <v>0.8478</v>
      </c>
      <c r="F15" s="15" t="n">
        <f aca="false">Supuestos!$B$27*Supuestos!$B$28*Supuestos!$B$11</f>
        <v>0.8478</v>
      </c>
      <c r="G15" s="15" t="n">
        <f aca="false">Supuestos!$B$27*Supuestos!$B$28*Supuestos!$B$11</f>
        <v>0.8478</v>
      </c>
      <c r="H15" s="15" t="n">
        <f aca="false">Supuestos!$B$27*Supuestos!$B$28*Supuestos!$B$11</f>
        <v>0.8478</v>
      </c>
      <c r="I15" s="15" t="n">
        <f aca="false">Supuestos!$B$27*Supuestos!$B$28*Supuestos!$B$11</f>
        <v>0.8478</v>
      </c>
    </row>
    <row r="16" customFormat="false" ht="15" hidden="false" customHeight="false" outlineLevel="0" collapsed="false">
      <c r="A16" s="2" t="s">
        <v>110</v>
      </c>
      <c r="B16" s="15" t="n">
        <f aca="false">Supuestos!$B$29*Supuestos!$B$11</f>
        <v>5.0868</v>
      </c>
      <c r="C16" s="15" t="n">
        <f aca="false">Supuestos!$B$29*Supuestos!$B$11</f>
        <v>5.0868</v>
      </c>
      <c r="D16" s="15" t="n">
        <f aca="false">Supuestos!$B$29*Supuestos!$B$11</f>
        <v>5.0868</v>
      </c>
      <c r="E16" s="15" t="n">
        <f aca="false">Supuestos!$B$29*Supuestos!$B$11</f>
        <v>5.0868</v>
      </c>
      <c r="F16" s="15" t="n">
        <f aca="false">Supuestos!$B$29*Supuestos!$B$11</f>
        <v>5.0868</v>
      </c>
      <c r="G16" s="15" t="n">
        <f aca="false">Supuestos!$B$29*Supuestos!$B$11</f>
        <v>5.0868</v>
      </c>
      <c r="H16" s="15" t="n">
        <f aca="false">Supuestos!$B$29*Supuestos!$B$11</f>
        <v>5.0868</v>
      </c>
      <c r="I16" s="15" t="n">
        <f aca="false">Supuestos!$B$29*Supuestos!$B$11</f>
        <v>5.0868</v>
      </c>
    </row>
    <row r="17" customFormat="false" ht="15" hidden="false" customHeight="false" outlineLevel="0" collapsed="false">
      <c r="A17" s="2" t="s">
        <v>111</v>
      </c>
      <c r="B17" s="15" t="n">
        <v>0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f aca="false">Supuestos!$B$30*Supuestos!$B$11/12</f>
        <v>0.2826</v>
      </c>
      <c r="I17" s="15" t="n">
        <f aca="false">Supuestos!$B$30*Supuestos!$B$11/12</f>
        <v>0.2826</v>
      </c>
    </row>
    <row r="18" customFormat="false" ht="15" hidden="false" customHeight="false" outlineLevel="0" collapsed="false">
      <c r="A18" s="16" t="s">
        <v>112</v>
      </c>
      <c r="B18" s="15" t="n">
        <f aca="false">SUM(B14:B17)</f>
        <v>46.629</v>
      </c>
      <c r="C18" s="15" t="n">
        <f aca="false">SUM(C14:C17)</f>
        <v>46.629</v>
      </c>
      <c r="D18" s="15" t="n">
        <f aca="false">SUM(D14:D17)</f>
        <v>46.629</v>
      </c>
      <c r="E18" s="15" t="n">
        <f aca="false">SUM(E14:E17)</f>
        <v>46.629</v>
      </c>
      <c r="F18" s="15" t="n">
        <f aca="false">SUM(F14:F17)</f>
        <v>46.629</v>
      </c>
      <c r="G18" s="15" t="n">
        <f aca="false">SUM(G14:G17)</f>
        <v>46.629</v>
      </c>
      <c r="H18" s="15" t="n">
        <f aca="false">SUM(H14:H17)</f>
        <v>46.9116</v>
      </c>
      <c r="I18" s="15" t="n">
        <f aca="false">SUM(I14:I17)</f>
        <v>46.9116</v>
      </c>
    </row>
    <row r="19" customFormat="false" ht="15" hidden="false" customHeight="false" outlineLevel="0" collapsed="false">
      <c r="A19" s="16" t="s">
        <v>113</v>
      </c>
      <c r="B19" s="17" t="n">
        <f aca="false">B13-B18</f>
        <v>277.889620689655</v>
      </c>
      <c r="C19" s="17" t="n">
        <f aca="false">C13-C18</f>
        <v>277.889620689655</v>
      </c>
      <c r="D19" s="17" t="n">
        <f aca="false">D13-D18</f>
        <v>318.132965517242</v>
      </c>
      <c r="E19" s="17" t="n">
        <f aca="false">E13-E18</f>
        <v>241.751689655172</v>
      </c>
      <c r="F19" s="17" t="n">
        <f aca="false">F13-F18</f>
        <v>241.751689655172</v>
      </c>
      <c r="G19" s="17" t="n">
        <f aca="false">G13-G18</f>
        <v>277.179517241379</v>
      </c>
      <c r="H19" s="17" t="n">
        <f aca="false">H13-H18</f>
        <v>193.40564137931</v>
      </c>
      <c r="I19" s="17" t="n">
        <f aca="false">I13-I18</f>
        <v>222.428831034483</v>
      </c>
    </row>
    <row r="20" customFormat="false" ht="15" hidden="false" customHeight="false" outlineLevel="0" collapsed="false">
      <c r="A20" s="2" t="s">
        <v>114</v>
      </c>
      <c r="B20" s="18" t="n">
        <f aca="false">IF(B7=0,0,B19/B7)</f>
        <v>0.717933095768374</v>
      </c>
      <c r="C20" s="18" t="n">
        <f aca="false">IF(C7=0,0,C19/C7)</f>
        <v>0.717933095768374</v>
      </c>
      <c r="D20" s="18" t="n">
        <f aca="false">IF(D7=0,0,D19/D7)</f>
        <v>0.821902538975501</v>
      </c>
      <c r="E20" s="18" t="n">
        <f aca="false">IF(E7=0,0,E19/E7)</f>
        <v>0.702836992481203</v>
      </c>
      <c r="F20" s="18" t="n">
        <f aca="false">IF(F7=0,0,F19/F7)</f>
        <v>0.702836992481203</v>
      </c>
      <c r="G20" s="18" t="n">
        <f aca="false">IF(G7=0,0,G19/G7)</f>
        <v>0.805835187969925</v>
      </c>
      <c r="H20" s="18" t="n">
        <f aca="false">IF(H7=0,0,H19/H7)</f>
        <v>0.674738478195489</v>
      </c>
      <c r="I20" s="18" t="n">
        <f aca="false">IF(I7=0,0,I19/I7)</f>
        <v>0.775992312781955</v>
      </c>
    </row>
    <row r="21" customFormat="false" ht="15" hidden="false" customHeight="false" outlineLevel="0" collapsed="false">
      <c r="A21" s="2" t="s">
        <v>115</v>
      </c>
      <c r="B21" s="15" t="n">
        <f aca="false">B19+(Supuestos!$B$23-Supuestos!$B$22)*Supuestos!$B$11</f>
        <v>305.019220689655</v>
      </c>
      <c r="C21" s="15" t="n">
        <f aca="false">C19+(Supuestos!$B$23-Supuestos!$B$22)*Supuestos!$B$11</f>
        <v>305.019220689655</v>
      </c>
      <c r="D21" s="15" t="n">
        <f aca="false">D19+(Supuestos!$B$23-Supuestos!$B$22)*Supuestos!$B$11</f>
        <v>345.262565517241</v>
      </c>
      <c r="E21" s="15" t="n">
        <f aca="false">E19+(Supuestos!$B$23-Supuestos!$B$22)*Supuestos!$B$11</f>
        <v>268.881289655172</v>
      </c>
      <c r="F21" s="15" t="n">
        <f aca="false">F19+(Supuestos!$B$23-Supuestos!$B$22)*Supuestos!$B$11</f>
        <v>268.881289655172</v>
      </c>
      <c r="G21" s="15" t="n">
        <f aca="false">G19+(Supuestos!$B$23-Supuestos!$B$22)*Supuestos!$B$11</f>
        <v>304.309117241379</v>
      </c>
      <c r="H21" s="15" t="n">
        <f aca="false">H19+(Supuestos!$B$23-Supuestos!$B$22)*Supuestos!$B$11</f>
        <v>220.53524137931</v>
      </c>
      <c r="I21" s="15" t="n">
        <f aca="false">I19+(Supuestos!$B$23-Supuestos!$B$22)*Supuestos!$B$11</f>
        <v>249.558431034483</v>
      </c>
    </row>
    <row r="22" customFormat="false" ht="15" hidden="false" customHeight="false" outlineLevel="0" collapsed="false">
      <c r="A22" s="2" t="s">
        <v>116</v>
      </c>
      <c r="B22" s="15" t="n">
        <f aca="false">B19-(Supuestos!$B$24-Supuestos!$B$23)*Supuestos!$B$11</f>
        <v>182.936020689655</v>
      </c>
      <c r="C22" s="15" t="n">
        <f aca="false">C19-(Supuestos!$B$24-Supuestos!$B$23)*Supuestos!$B$11</f>
        <v>182.936020689655</v>
      </c>
      <c r="D22" s="15" t="n">
        <f aca="false">D19-(Supuestos!$B$24-Supuestos!$B$23)*Supuestos!$B$11</f>
        <v>223.179365517241</v>
      </c>
      <c r="E22" s="15" t="n">
        <f aca="false">E19-(Supuestos!$B$24-Supuestos!$B$23)*Supuestos!$B$11</f>
        <v>146.798089655172</v>
      </c>
      <c r="F22" s="15" t="n">
        <f aca="false">F19-(Supuestos!$B$24-Supuestos!$B$23)*Supuestos!$B$11</f>
        <v>146.798089655172</v>
      </c>
      <c r="G22" s="15" t="n">
        <f aca="false">G19-(Supuestos!$B$24-Supuestos!$B$23)*Supuestos!$B$11</f>
        <v>182.225917241379</v>
      </c>
      <c r="H22" s="15" t="n">
        <f aca="false">H19-(Supuestos!$B$24-Supuestos!$B$23)*Supuestos!$B$11</f>
        <v>98.4520413793104</v>
      </c>
      <c r="I22" s="15" t="n">
        <f aca="false">I19-(Supuestos!$B$24-Supuestos!$B$23)*Supuestos!$B$11</f>
        <v>127.475231034483</v>
      </c>
    </row>
    <row r="24" customFormat="false" ht="15" hidden="false" customHeight="false" outlineLevel="0" collapsed="false">
      <c r="A24" s="2" t="s">
        <v>117</v>
      </c>
      <c r="B24" s="10" t="n">
        <f aca="false">(B13-B15-B16-B17)/Supuestos!$B$11</f>
        <v>18.7888665186161</v>
      </c>
      <c r="C24" s="10" t="n">
        <f aca="false">(C13-C15-C16-C17)/Supuestos!$B$11</f>
        <v>18.7888665186161</v>
      </c>
      <c r="D24" s="10" t="n">
        <f aca="false">(D13-D15-D16-D17)/Supuestos!$B$11</f>
        <v>21.162265010453</v>
      </c>
      <c r="E24" s="10" t="n">
        <f aca="false">(E13-E15-E16-E17)/Supuestos!$B$11</f>
        <v>16.6575896234473</v>
      </c>
      <c r="F24" s="10" t="n">
        <f aca="false">(F13-F15-F16-F17)/Supuestos!$B$11</f>
        <v>16.6575896234473</v>
      </c>
      <c r="G24" s="10" t="n">
        <f aca="false">(G13-G15-G16-G17)/Supuestos!$B$11</f>
        <v>18.7469873343583</v>
      </c>
      <c r="H24" s="10" t="n">
        <f aca="false">(H13-H15-H16-H17)/Supuestos!$B$11</f>
        <v>13.8063246862061</v>
      </c>
      <c r="I24" s="10" t="n">
        <f aca="false">(I13-I15-I16-I17)/Supuestos!$B$11</f>
        <v>15.5180013584857</v>
      </c>
    </row>
    <row r="26" customFormat="false" ht="43.5" hidden="false" customHeight="true" outlineLevel="0" collapsed="false">
      <c r="A26" s="19" t="s">
        <v>118</v>
      </c>
      <c r="B26" s="19"/>
      <c r="C26" s="19"/>
      <c r="D26" s="19"/>
      <c r="E26" s="19"/>
      <c r="F26" s="19"/>
      <c r="G26" s="19"/>
      <c r="H26" s="19"/>
      <c r="I26" s="19"/>
    </row>
    <row r="28" customFormat="false" ht="30" hidden="false" customHeight="true" outlineLevel="0" collapsed="false">
      <c r="A28" s="19" t="s">
        <v>119</v>
      </c>
      <c r="B28" s="19"/>
      <c r="C28" s="19"/>
      <c r="D28" s="19"/>
      <c r="E28" s="19"/>
      <c r="F28" s="19"/>
      <c r="G28" s="19"/>
      <c r="H28" s="19"/>
      <c r="I28" s="19"/>
    </row>
  </sheetData>
  <mergeCells count="2">
    <mergeCell ref="A26:I26"/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</cols>
  <sheetData>
    <row r="1" customFormat="false" ht="16.1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16" t="s">
        <v>122</v>
      </c>
      <c r="B4" s="12" t="n">
        <v>25</v>
      </c>
      <c r="C4" s="12" t="n">
        <v>50</v>
      </c>
      <c r="D4" s="12" t="n">
        <v>100</v>
      </c>
      <c r="E4" s="12" t="n">
        <v>250</v>
      </c>
      <c r="F4" s="12" t="n">
        <v>500</v>
      </c>
      <c r="G4" s="12" t="n">
        <v>1000</v>
      </c>
    </row>
    <row r="5" customFormat="false" ht="15" hidden="false" customHeight="false" outlineLevel="0" collapsed="false">
      <c r="A5" s="2" t="s">
        <v>123</v>
      </c>
      <c r="B5" s="4" t="n">
        <v>449</v>
      </c>
      <c r="D5" s="2" t="s">
        <v>124</v>
      </c>
    </row>
    <row r="6" customFormat="false" ht="15" hidden="false" customHeight="false" outlineLevel="0" collapsed="false">
      <c r="A6" s="2" t="s">
        <v>125</v>
      </c>
      <c r="B6" s="4" t="n">
        <v>2500</v>
      </c>
      <c r="D6" s="2" t="s">
        <v>126</v>
      </c>
    </row>
    <row r="7" customFormat="false" ht="15" hidden="false" customHeight="false" outlineLevel="0" collapsed="false">
      <c r="A7" s="2" t="s">
        <v>127</v>
      </c>
      <c r="B7" s="4" t="n">
        <v>40000</v>
      </c>
      <c r="D7" s="2" t="s">
        <v>128</v>
      </c>
    </row>
    <row r="9" customFormat="false" ht="15" hidden="false" customHeight="false" outlineLevel="0" collapsed="false">
      <c r="A9" s="2" t="s">
        <v>129</v>
      </c>
      <c r="B9" s="20" t="n">
        <f aca="false">B$4*$B$5</f>
        <v>11225</v>
      </c>
      <c r="C9" s="20" t="n">
        <f aca="false">C$4*$B$5</f>
        <v>22450</v>
      </c>
      <c r="D9" s="20" t="n">
        <f aca="false">D$4*$B$5</f>
        <v>44900</v>
      </c>
      <c r="E9" s="20" t="n">
        <f aca="false">E$4*$B$5</f>
        <v>112250</v>
      </c>
      <c r="F9" s="20" t="n">
        <f aca="false">F$4*$B$5</f>
        <v>224500</v>
      </c>
      <c r="G9" s="20" t="n">
        <f aca="false">G$4*$B$5</f>
        <v>449000</v>
      </c>
    </row>
    <row r="10" customFormat="false" ht="15" hidden="false" customHeight="false" outlineLevel="0" collapsed="false">
      <c r="A10" s="2" t="s">
        <v>130</v>
      </c>
      <c r="B10" s="20" t="n">
        <f aca="false">B9-B9/(1+Supuestos!$B$10)</f>
        <v>1548.27586206897</v>
      </c>
      <c r="C10" s="20" t="n">
        <f aca="false">C9-C9/(1+Supuestos!$B$10)</f>
        <v>3096.55172413793</v>
      </c>
      <c r="D10" s="20" t="n">
        <f aca="false">D9-D9/(1+Supuestos!$B$10)</f>
        <v>6193.10344827586</v>
      </c>
      <c r="E10" s="20" t="n">
        <f aca="false">E9-E9/(1+Supuestos!$B$10)</f>
        <v>15482.7586206897</v>
      </c>
      <c r="F10" s="20" t="n">
        <f aca="false">F9-F9/(1+Supuestos!$B$10)</f>
        <v>30965.5172413793</v>
      </c>
      <c r="G10" s="20" t="n">
        <f aca="false">G9-G9/(1+Supuestos!$B$10)</f>
        <v>61931.0344827586</v>
      </c>
    </row>
    <row r="11" customFormat="false" ht="15" hidden="false" customHeight="false" outlineLevel="0" collapsed="false">
      <c r="A11" s="2" t="s">
        <v>101</v>
      </c>
      <c r="B11" s="20" t="n">
        <f aca="false">B9-B10</f>
        <v>9676.72413793103</v>
      </c>
      <c r="C11" s="20" t="n">
        <f aca="false">C9-C10</f>
        <v>19353.4482758621</v>
      </c>
      <c r="D11" s="20" t="n">
        <f aca="false">D9-D10</f>
        <v>38706.8965517241</v>
      </c>
      <c r="E11" s="20" t="n">
        <f aca="false">E9-E10</f>
        <v>96767.2413793104</v>
      </c>
      <c r="F11" s="20" t="n">
        <f aca="false">F9-F10</f>
        <v>193534.482758621</v>
      </c>
      <c r="G11" s="20" t="n">
        <f aca="false">G9-G10</f>
        <v>387068.965517241</v>
      </c>
    </row>
    <row r="12" customFormat="false" ht="15" hidden="false" customHeight="false" outlineLevel="0" collapsed="false">
      <c r="A12" s="2" t="s">
        <v>131</v>
      </c>
      <c r="B12" s="20" t="n">
        <f aca="false">(B11*(Supuestos!$B$50*Supuestos!$B$13+Supuestos!$B$51*Supuestos!$B$14)+B$4*Supuestos!$B$52*($B$5*Supuestos!$B$15+Supuestos!$B$16+$B$5*Supuestos!$B$17))*(1+(1-Supuestos!$B$20)*Supuestos!$B$10)</f>
        <v>1272.74189655172</v>
      </c>
      <c r="C12" s="20" t="n">
        <f aca="false">(C11*(Supuestos!$B$50*Supuestos!$B$13+Supuestos!$B$51*Supuestos!$B$14)+C$4*Supuestos!$B$52*($B$5*Supuestos!$B$15+Supuestos!$B$16+$B$5*Supuestos!$B$17))*(1+(1-Supuestos!$B$20)*Supuestos!$B$10)</f>
        <v>2545.48379310345</v>
      </c>
      <c r="D12" s="20" t="n">
        <f aca="false">(D11*(Supuestos!$B$50*Supuestos!$B$13+Supuestos!$B$51*Supuestos!$B$14)+D$4*Supuestos!$B$52*($B$5*Supuestos!$B$15+Supuestos!$B$16+$B$5*Supuestos!$B$17))*(1+(1-Supuestos!$B$20)*Supuestos!$B$10)</f>
        <v>5090.9675862069</v>
      </c>
      <c r="E12" s="20" t="n">
        <f aca="false">(E11*(Supuestos!$B$50*Supuestos!$B$13+Supuestos!$B$51*Supuestos!$B$14)+E$4*Supuestos!$B$52*($B$5*Supuestos!$B$15+Supuestos!$B$16+$B$5*Supuestos!$B$17))*(1+(1-Supuestos!$B$20)*Supuestos!$B$10)</f>
        <v>12727.4189655172</v>
      </c>
      <c r="F12" s="20" t="n">
        <f aca="false">(F11*(Supuestos!$B$50*Supuestos!$B$13+Supuestos!$B$51*Supuestos!$B$14)+F$4*Supuestos!$B$52*($B$5*Supuestos!$B$15+Supuestos!$B$16+$B$5*Supuestos!$B$17))*(1+(1-Supuestos!$B$20)*Supuestos!$B$10)</f>
        <v>25454.8379310345</v>
      </c>
      <c r="G12" s="20" t="n">
        <f aca="false">(G11*(Supuestos!$B$50*Supuestos!$B$13+Supuestos!$B$51*Supuestos!$B$14)+G$4*Supuestos!$B$52*($B$5*Supuestos!$B$15+Supuestos!$B$16+$B$5*Supuestos!$B$17))*(1+(1-Supuestos!$B$20)*Supuestos!$B$10)</f>
        <v>50909.675862069</v>
      </c>
    </row>
    <row r="13" customFormat="false" ht="15" hidden="false" customHeight="false" outlineLevel="0" collapsed="false">
      <c r="A13" s="2" t="s">
        <v>132</v>
      </c>
      <c r="B13" s="20" t="n">
        <f aca="false">IF(B9*(Supuestos!$B$50+Supuestos!$B$51)/Supuestos!$B$11&gt;Supuestos!$B$19,B9*(Supuestos!$B$50+Supuestos!$B$51)*Supuestos!$B$18,0)</f>
        <v>0</v>
      </c>
      <c r="C13" s="20" t="n">
        <f aca="false">IF(C9*(Supuestos!$B$50+Supuestos!$B$51)/Supuestos!$B$11&gt;Supuestos!$B$19,C9*(Supuestos!$B$50+Supuestos!$B$51)*Supuestos!$B$18,0)</f>
        <v>0</v>
      </c>
      <c r="D13" s="20" t="n">
        <f aca="false">IF(D9*(Supuestos!$B$50+Supuestos!$B$51)/Supuestos!$B$11&gt;Supuestos!$B$19,D9*(Supuestos!$B$50+Supuestos!$B$51)*Supuestos!$B$18,0)</f>
        <v>0</v>
      </c>
      <c r="E13" s="20" t="n">
        <f aca="false">IF(E9*(Supuestos!$B$50+Supuestos!$B$51)/Supuestos!$B$11&gt;Supuestos!$B$19,E9*(Supuestos!$B$50+Supuestos!$B$51)*Supuestos!$B$18,0)</f>
        <v>898</v>
      </c>
      <c r="F13" s="20" t="n">
        <f aca="false">IF(F9*(Supuestos!$B$50+Supuestos!$B$51)/Supuestos!$B$11&gt;Supuestos!$B$19,F9*(Supuestos!$B$50+Supuestos!$B$51)*Supuestos!$B$18,0)</f>
        <v>1796</v>
      </c>
      <c r="G13" s="20" t="n">
        <f aca="false">IF(G9*(Supuestos!$B$50+Supuestos!$B$51)/Supuestos!$B$11&gt;Supuestos!$B$19,G9*(Supuestos!$B$50+Supuestos!$B$51)*Supuestos!$B$18,0)</f>
        <v>3592</v>
      </c>
    </row>
    <row r="14" customFormat="false" ht="15" hidden="false" customHeight="false" outlineLevel="0" collapsed="false">
      <c r="A14" s="16" t="s">
        <v>133</v>
      </c>
      <c r="B14" s="20" t="n">
        <f aca="false">B11-B12-B13</f>
        <v>8403.98224137931</v>
      </c>
      <c r="C14" s="20" t="n">
        <f aca="false">C11-C12-C13</f>
        <v>16807.9644827586</v>
      </c>
      <c r="D14" s="20" t="n">
        <f aca="false">D11-D12-D13</f>
        <v>33615.9289655172</v>
      </c>
      <c r="E14" s="20" t="n">
        <f aca="false">E11-E12-E13</f>
        <v>83141.8224137931</v>
      </c>
      <c r="F14" s="20" t="n">
        <f aca="false">F11-F12-F13</f>
        <v>166283.644827586</v>
      </c>
      <c r="G14" s="20" t="n">
        <f aca="false">G11-G12-G13</f>
        <v>332567.289655172</v>
      </c>
    </row>
    <row r="15" customFormat="false" ht="15" hidden="false" customHeight="false" outlineLevel="0" collapsed="false">
      <c r="A15" s="2" t="s">
        <v>134</v>
      </c>
      <c r="B15" s="20" t="n">
        <f aca="false">B$4*(Supuestos!$B$26+Supuestos!$B$27*Supuestos!$B$28+Supuestos!$B$29)*Supuestos!$B$11</f>
        <v>1403.109</v>
      </c>
      <c r="C15" s="20" t="n">
        <f aca="false">C$4*(Supuestos!$B$26+Supuestos!$B$27*Supuestos!$B$28+Supuestos!$B$29)*Supuestos!$B$11</f>
        <v>2806.218</v>
      </c>
      <c r="D15" s="20" t="n">
        <f aca="false">D$4*(Supuestos!$B$26+Supuestos!$B$27*Supuestos!$B$28+Supuestos!$B$29)*Supuestos!$B$11</f>
        <v>5612.436</v>
      </c>
      <c r="E15" s="20" t="n">
        <f aca="false">E$4*(Supuestos!$B$26+Supuestos!$B$27*Supuestos!$B$28+Supuestos!$B$29)*Supuestos!$B$11</f>
        <v>14031.09</v>
      </c>
      <c r="F15" s="20" t="n">
        <f aca="false">F$4*(Supuestos!$B$26+Supuestos!$B$27*Supuestos!$B$28+Supuestos!$B$29)*Supuestos!$B$11</f>
        <v>28062.18</v>
      </c>
      <c r="G15" s="20" t="n">
        <f aca="false">G$4*(Supuestos!$B$26+Supuestos!$B$27*Supuestos!$B$28+Supuestos!$B$29)*Supuestos!$B$11</f>
        <v>56124.36</v>
      </c>
    </row>
    <row r="16" customFormat="false" ht="15" hidden="false" customHeight="false" outlineLevel="0" collapsed="false">
      <c r="A16" s="2" t="s">
        <v>135</v>
      </c>
      <c r="B16" s="20" t="n">
        <f aca="false">B$4*Supuestos!$B$35*Supuestos!$B$33*Supuestos!$B$32*Supuestos!$B$11</f>
        <v>169.56</v>
      </c>
      <c r="C16" s="20" t="n">
        <f aca="false">C$4*Supuestos!$B$35*Supuestos!$B$33*Supuestos!$B$32*Supuestos!$B$11</f>
        <v>339.12</v>
      </c>
      <c r="D16" s="20" t="n">
        <f aca="false">D$4*Supuestos!$B$35*Supuestos!$B$33*Supuestos!$B$32*Supuestos!$B$11</f>
        <v>678.24</v>
      </c>
      <c r="E16" s="20" t="n">
        <f aca="false">E$4*Supuestos!$B$35*Supuestos!$B$33*Supuestos!$B$32*Supuestos!$B$11</f>
        <v>1695.6</v>
      </c>
      <c r="F16" s="20" t="n">
        <f aca="false">F$4*Supuestos!$B$35*Supuestos!$B$33*Supuestos!$B$32*Supuestos!$B$11</f>
        <v>3391.2</v>
      </c>
      <c r="G16" s="20" t="n">
        <f aca="false">G$4*Supuestos!$B$35*Supuestos!$B$33*Supuestos!$B$32*Supuestos!$B$11</f>
        <v>6782.4</v>
      </c>
    </row>
    <row r="17" customFormat="false" ht="15" hidden="false" customHeight="false" outlineLevel="0" collapsed="false">
      <c r="A17" s="2" t="s">
        <v>136</v>
      </c>
      <c r="B17" s="20" t="n">
        <f aca="false">B$4*Supuestos!$B$35*Supuestos!$B$34*Supuestos!$B$11</f>
        <v>254.34</v>
      </c>
      <c r="C17" s="20" t="n">
        <f aca="false">C$4*Supuestos!$B$35*Supuestos!$B$34*Supuestos!$B$11</f>
        <v>508.68</v>
      </c>
      <c r="D17" s="20" t="n">
        <f aca="false">D$4*Supuestos!$B$35*Supuestos!$B$34*Supuestos!$B$11</f>
        <v>1017.36</v>
      </c>
      <c r="E17" s="20" t="n">
        <f aca="false">E$4*Supuestos!$B$35*Supuestos!$B$34*Supuestos!$B$11</f>
        <v>2543.4</v>
      </c>
      <c r="F17" s="20" t="n">
        <f aca="false">F$4*Supuestos!$B$35*Supuestos!$B$34*Supuestos!$B$11</f>
        <v>5086.8</v>
      </c>
      <c r="G17" s="20" t="n">
        <f aca="false">G$4*Supuestos!$B$35*Supuestos!$B$34*Supuestos!$B$11</f>
        <v>10173.6</v>
      </c>
    </row>
    <row r="18" customFormat="false" ht="15" hidden="false" customHeight="false" outlineLevel="0" collapsed="false">
      <c r="A18" s="2" t="s">
        <v>137</v>
      </c>
      <c r="B18" s="20" t="n">
        <f aca="false">(Supuestos!$B$37+Supuestos!$B$38+Supuestos!$B$39+Supuestos!$B$40+Supuestos!$B$47+Supuestos!$B$48+IF(B$4*(1+Supuestos!$B$35)&gt;1500,Supuestos!$B$45,0)+IF(B$4*(1+Supuestos!$B$35)&gt;2500,Supuestos!$B$46,0))*Supuestos!$B$11</f>
        <v>733.347</v>
      </c>
      <c r="C18" s="20" t="n">
        <f aca="false">(Supuestos!$B$37+Supuestos!$B$38+Supuestos!$B$39+Supuestos!$B$40+Supuestos!$B$47+Supuestos!$B$48+IF(C$4*(1+Supuestos!$B$35)&gt;1500,Supuestos!$B$45,0)+IF(C$4*(1+Supuestos!$B$35)&gt;2500,Supuestos!$B$46,0))*Supuestos!$B$11</f>
        <v>733.347</v>
      </c>
      <c r="D18" s="20" t="n">
        <f aca="false">(Supuestos!$B$37+Supuestos!$B$38+Supuestos!$B$39+Supuestos!$B$40+Supuestos!$B$47+Supuestos!$B$48+IF(D$4*(1+Supuestos!$B$35)&gt;1500,Supuestos!$B$45,0)+IF(D$4*(1+Supuestos!$B$35)&gt;2500,Supuestos!$B$46,0))*Supuestos!$B$11</f>
        <v>1072.467</v>
      </c>
      <c r="E18" s="20" t="n">
        <f aca="false">(Supuestos!$B$37+Supuestos!$B$38+Supuestos!$B$39+Supuestos!$B$40+Supuestos!$B$47+Supuestos!$B$48+IF(E$4*(1+Supuestos!$B$35)&gt;1500,Supuestos!$B$45,0)+IF(E$4*(1+Supuestos!$B$35)&gt;2500,Supuestos!$B$46,0))*Supuestos!$B$11</f>
        <v>1513.323</v>
      </c>
      <c r="F18" s="20" t="n">
        <f aca="false">(Supuestos!$B$37+Supuestos!$B$38+Supuestos!$B$39+Supuestos!$B$40+Supuestos!$B$47+Supuestos!$B$48+IF(F$4*(1+Supuestos!$B$35)&gt;1500,Supuestos!$B$45,0)+IF(F$4*(1+Supuestos!$B$35)&gt;2500,Supuestos!$B$46,0))*Supuestos!$B$11</f>
        <v>1513.323</v>
      </c>
      <c r="G18" s="20" t="n">
        <f aca="false">(Supuestos!$B$37+Supuestos!$B$38+Supuestos!$B$39+Supuestos!$B$40+Supuestos!$B$47+Supuestos!$B$48+IF(G$4*(1+Supuestos!$B$35)&gt;1500,Supuestos!$B$45,0)+IF(G$4*(1+Supuestos!$B$35)&gt;2500,Supuestos!$B$46,0))*Supuestos!$B$11</f>
        <v>1513.323</v>
      </c>
    </row>
    <row r="19" customFormat="false" ht="15" hidden="false" customHeight="false" outlineLevel="0" collapsed="false">
      <c r="A19" s="2" t="s">
        <v>138</v>
      </c>
      <c r="B19" s="20" t="n">
        <f aca="false">IF(B$4*(1+Supuestos!$B$35)&gt;Supuestos!$B$42,Supuestos!$B$41+MAX(0,B$4*(1+Supuestos!$B$35)-Supuestos!$B$43)*Supuestos!$B$44,0)*Supuestos!$B$11</f>
        <v>0</v>
      </c>
      <c r="C19" s="20" t="n">
        <f aca="false">IF(C$4*(1+Supuestos!$B$35)&gt;Supuestos!$B$42,Supuestos!$B$41+MAX(0,C$4*(1+Supuestos!$B$35)-Supuestos!$B$43)*Supuestos!$B$44,0)*Supuestos!$B$11</f>
        <v>322.164</v>
      </c>
      <c r="D19" s="20" t="n">
        <f aca="false">IF(D$4*(1+Supuestos!$B$35)&gt;Supuestos!$B$42,Supuestos!$B$41+MAX(0,D$4*(1+Supuestos!$B$35)-Supuestos!$B$43)*Supuestos!$B$44,0)*Supuestos!$B$11</f>
        <v>322.164</v>
      </c>
      <c r="E19" s="20" t="n">
        <f aca="false">IF(E$4*(1+Supuestos!$B$35)&gt;Supuestos!$B$42,Supuestos!$B$41+MAX(0,E$4*(1+Supuestos!$B$35)-Supuestos!$B$43)*Supuestos!$B$44,0)*Supuestos!$B$11</f>
        <v>512.919</v>
      </c>
      <c r="F19" s="20" t="n">
        <f aca="false">IF(F$4*(1+Supuestos!$B$35)&gt;Supuestos!$B$42,Supuestos!$B$41+MAX(0,F$4*(1+Supuestos!$B$35)-Supuestos!$B$43)*Supuestos!$B$44,0)*Supuestos!$B$11</f>
        <v>958.014</v>
      </c>
      <c r="G19" s="20" t="n">
        <f aca="false">IF(G$4*(1+Supuestos!$B$35)&gt;Supuestos!$B$42,Supuestos!$B$41+MAX(0,G$4*(1+Supuestos!$B$35)-Supuestos!$B$43)*Supuestos!$B$44,0)*Supuestos!$B$11</f>
        <v>1848.204</v>
      </c>
    </row>
    <row r="20" customFormat="false" ht="15" hidden="false" customHeight="false" outlineLevel="0" collapsed="false">
      <c r="A20" s="2" t="s">
        <v>139</v>
      </c>
      <c r="B20" s="20" t="n">
        <f aca="false">$B$6</f>
        <v>2500</v>
      </c>
      <c r="C20" s="20" t="n">
        <f aca="false">$B$6</f>
        <v>2500</v>
      </c>
      <c r="D20" s="20" t="n">
        <f aca="false">$B$6</f>
        <v>2500</v>
      </c>
      <c r="E20" s="20" t="n">
        <f aca="false">$B$6</f>
        <v>2500</v>
      </c>
      <c r="F20" s="20" t="n">
        <f aca="false">$B$6</f>
        <v>2500</v>
      </c>
      <c r="G20" s="20" t="n">
        <f aca="false">$B$6</f>
        <v>2500</v>
      </c>
    </row>
    <row r="21" customFormat="false" ht="15" hidden="false" customHeight="false" outlineLevel="0" collapsed="false">
      <c r="A21" s="16" t="s">
        <v>140</v>
      </c>
      <c r="B21" s="21" t="n">
        <f aca="false">B14-SUM(B15:B20)</f>
        <v>3343.62624137931</v>
      </c>
      <c r="C21" s="21" t="n">
        <f aca="false">C14-SUM(C15:C20)</f>
        <v>9598.43548275862</v>
      </c>
      <c r="D21" s="21" t="n">
        <f aca="false">D14-SUM(D15:D20)</f>
        <v>22413.2619655172</v>
      </c>
      <c r="E21" s="21" t="n">
        <f aca="false">E14-SUM(E15:E20)</f>
        <v>60345.4904137931</v>
      </c>
      <c r="F21" s="21" t="n">
        <f aca="false">F14-SUM(F15:F20)</f>
        <v>124772.127827586</v>
      </c>
      <c r="G21" s="21" t="n">
        <f aca="false">G14-SUM(G15:G20)</f>
        <v>253625.402655172</v>
      </c>
    </row>
    <row r="22" customFormat="false" ht="15" hidden="false" customHeight="false" outlineLevel="0" collapsed="false">
      <c r="A22" s="2" t="s">
        <v>114</v>
      </c>
      <c r="B22" s="18" t="n">
        <f aca="false">IF(B11=0,0,B21/B11)</f>
        <v>0.345532867706013</v>
      </c>
      <c r="C22" s="18" t="n">
        <f aca="false">IF(C11=0,0,C21/C11)</f>
        <v>0.495954795545657</v>
      </c>
      <c r="D22" s="18" t="n">
        <f aca="false">IF(D11=0,0,D21/D11)</f>
        <v>0.579050865924276</v>
      </c>
      <c r="E22" s="18" t="n">
        <f aca="false">IF(E11=0,0,E21/E11)</f>
        <v>0.62361486752784</v>
      </c>
      <c r="F22" s="18" t="n">
        <f aca="false">IF(F11=0,0,F21/F11)</f>
        <v>0.644702308596882</v>
      </c>
      <c r="G22" s="18" t="n">
        <f aca="false">IF(G11=0,0,G21/G11)</f>
        <v>0.655246029131403</v>
      </c>
    </row>
    <row r="23" customFormat="false" ht="15" hidden="false" customHeight="false" outlineLevel="0" collapsed="false">
      <c r="A23" s="2" t="s">
        <v>141</v>
      </c>
      <c r="B23" s="18" t="n">
        <f aca="false">IF(B14=0,0,B15/B14)</f>
        <v>0.166957635047277</v>
      </c>
      <c r="C23" s="18" t="n">
        <f aca="false">IF(C14=0,0,C15/C14)</f>
        <v>0.166957635047277</v>
      </c>
      <c r="D23" s="18" t="n">
        <f aca="false">IF(D14=0,0,D15/D14)</f>
        <v>0.166957635047277</v>
      </c>
      <c r="E23" s="18" t="n">
        <f aca="false">IF(E14=0,0,E15/E14)</f>
        <v>0.168760914695469</v>
      </c>
      <c r="F23" s="18" t="n">
        <f aca="false">IF(F14=0,0,F15/F14)</f>
        <v>0.168760914695469</v>
      </c>
      <c r="G23" s="18" t="n">
        <f aca="false">IF(G14=0,0,G15/G14)</f>
        <v>0.168760914695469</v>
      </c>
    </row>
    <row r="24" customFormat="false" ht="15" hidden="false" customHeight="false" outlineLevel="0" collapsed="false">
      <c r="A24" s="16" t="s">
        <v>142</v>
      </c>
      <c r="B24" s="21" t="n">
        <f aca="false">B21-$B$7</f>
        <v>-36656.3737586207</v>
      </c>
      <c r="C24" s="21" t="n">
        <f aca="false">C21-$B$7</f>
        <v>-30401.5645172414</v>
      </c>
      <c r="D24" s="21" t="n">
        <f aca="false">D21-$B$7</f>
        <v>-17586.7380344828</v>
      </c>
      <c r="E24" s="21" t="n">
        <f aca="false">E21-$B$7</f>
        <v>20345.4904137931</v>
      </c>
      <c r="F24" s="21" t="n">
        <f aca="false">F21-$B$7</f>
        <v>84772.1278275862</v>
      </c>
      <c r="G24" s="21" t="n">
        <f aca="false">G21-$B$7</f>
        <v>213625.402655172</v>
      </c>
    </row>
    <row r="27" customFormat="false" ht="15" hidden="false" customHeight="false" outlineLevel="0" collapsed="false">
      <c r="A27" s="3" t="s">
        <v>143</v>
      </c>
    </row>
    <row r="28" customFormat="false" ht="15" hidden="false" customHeight="false" outlineLevel="0" collapsed="false">
      <c r="A28" s="2" t="s">
        <v>144</v>
      </c>
      <c r="B28" s="15" t="n">
        <f aca="false">($B$5/(1+Supuestos!$B$10)*(1-Supuestos!$B$50*Supuestos!$B$13-Supuestos!$B$51*Supuestos!$B$14)-Supuestos!$B$52*($B$5*Supuestos!$B$15+Supuestos!$B$16+$B$5*Supuestos!$B$17)-(Supuestos!$B$50+Supuestos!$B$51)*$B$5*Supuestos!$B$18)-(1-Supuestos!$B$20)*Supuestos!$B$10*($B$5/(1+Supuestos!$B$10)*(Supuestos!$B$50*Supuestos!$B$13+Supuestos!$B$51*Supuestos!$B$14)+Supuestos!$B$52*($B$5*Supuestos!$B$15+Supuestos!$B$16+$B$5*Supuestos!$B$17))-(Supuestos!$B$26+Supuestos!$B$27*Supuestos!$B$28+Supuestos!$B$29)*Supuestos!$B$11-(Supuestos!$B$35*Supuestos!$B$33*Supuestos!$B$32+Supuestos!$B$35*Supuestos!$B$34)*Supuestos!$B$11</f>
        <v>259.486929655172</v>
      </c>
    </row>
    <row r="29" customFormat="false" ht="15" hidden="false" customHeight="false" outlineLevel="0" collapsed="false">
      <c r="A29" s="2" t="s">
        <v>145</v>
      </c>
      <c r="B29" s="20" t="n">
        <f aca="false">(Supuestos!$B$37+Supuestos!$B$38+Supuestos!$B$39+Supuestos!$B$40+Supuestos!$B$47+Supuestos!$B$48+Supuestos!$B$41)*Supuestos!$B$11+$B$6</f>
        <v>3555.511</v>
      </c>
    </row>
    <row r="30" customFormat="false" ht="15" hidden="false" customHeight="false" outlineLevel="0" collapsed="false">
      <c r="A30" s="2" t="s">
        <v>146</v>
      </c>
      <c r="B30" s="22" t="n">
        <f aca="false">ROUNDUP(B29/B28,0)</f>
        <v>14</v>
      </c>
    </row>
    <row r="31" customFormat="false" ht="15" hidden="false" customHeight="false" outlineLevel="0" collapsed="false">
      <c r="A31" s="2" t="s">
        <v>147</v>
      </c>
      <c r="B31" s="22" t="n">
        <f aca="false">ROUNDUP((B29+$B$7)/B28,0)</f>
        <v>168</v>
      </c>
    </row>
    <row r="32" customFormat="false" ht="15" hidden="false" customHeight="false" outlineLevel="0" collapsed="false">
      <c r="A32" s="2" t="s">
        <v>148</v>
      </c>
      <c r="B32" s="22" t="n">
        <f aca="false">ROUNDUP((B29+$B$7)/(($B$5/(1+Supuestos!$B$10)-$B$5*Supuestos!$B$15-Supuestos!$B$16-$B$5*Supuestos!$B$17)-(1-Supuestos!$B$20)*Supuestos!$B$10*($B$5*Supuestos!$B$15+Supuestos!$B$16+$B$5*Supuestos!$B$17)-(Supuestos!$B$26+Supuestos!$B$27*Supuestos!$B$28+Supuestos!$B$29)*Supuestos!$B$11-(Supuestos!$B$35*Supuestos!$B$33*Supuestos!$B$32+Supuestos!$B$35*Supuestos!$B$34)*Supuestos!$B$11),0)</f>
        <v>150</v>
      </c>
    </row>
    <row r="33" customFormat="false" ht="15" hidden="false" customHeight="false" outlineLevel="0" collapsed="false">
      <c r="A33" s="2" t="s">
        <v>149</v>
      </c>
      <c r="B33" s="22" t="n">
        <f aca="false">ROUNDUP((B29+$B$7)/((Supuestos!$B$7/(1+Supuestos!$B$10)*(1-Supuestos!$B$50*Supuestos!$B$13-Supuestos!$B$51*Supuestos!$B$14)-Supuestos!$B$52*(Supuestos!$B$7*Supuestos!$B$15+Supuestos!$B$16+Supuestos!$B$7*Supuestos!$B$17)-(Supuestos!$B$50+Supuestos!$B$51)*Supuestos!$B$7*Supuestos!$B$18)-(1-Supuestos!$B$20)*Supuestos!$B$10*(Supuestos!$B$7/(1+Supuestos!$B$10)*(Supuestos!$B$50*Supuestos!$B$13+Supuestos!$B$51*Supuestos!$B$14)+Supuestos!$B$52*(Supuestos!$B$7*Supuestos!$B$15+Supuestos!$B$16+Supuestos!$B$7*Supuestos!$B$17))-(Supuestos!$B$26+Supuestos!$B$27*Supuestos!$B$28+Supuestos!$B$29)*Supuestos!$B$11-(Supuestos!$B$35*Supuestos!$B$33*Supuestos!$B$32+Supuestos!$B$35*Supuestos!$B$34)*Supuestos!$B$11),0)</f>
        <v>196</v>
      </c>
    </row>
    <row r="34" customFormat="false" ht="15" hidden="false" customHeight="false" outlineLevel="0" collapsed="false">
      <c r="A34" s="2" t="s">
        <v>150</v>
      </c>
      <c r="B34" s="22" t="n">
        <f aca="false">ROUNDUP((B29+$B$7)/((Supuestos!$B$7/(1+Supuestos!$B$10)-Supuestos!$B$7*Supuestos!$B$15-Supuestos!$B$16-Supuestos!$B$7*Supuestos!$B$17)-(1-Supuestos!$B$20)*Supuestos!$B$10*(Supuestos!$B$7*Supuestos!$B$15+Supuestos!$B$16+Supuestos!$B$7*Supuestos!$B$17)-(Supuestos!$B$26+Supuestos!$B$27*Supuestos!$B$28+Supuestos!$B$29)*Supuestos!$B$11-(Supuestos!$B$35*Supuestos!$B$33*Supuestos!$B$32+Supuestos!$B$35*Supuestos!$B$34)*Supuestos!$B$11),0)</f>
        <v>174</v>
      </c>
    </row>
    <row r="36" customFormat="false" ht="57.75" hidden="false" customHeight="true" outlineLevel="0" collapsed="false">
      <c r="A36" s="19" t="s">
        <v>151</v>
      </c>
      <c r="B36" s="19"/>
      <c r="C36" s="19"/>
      <c r="D36" s="19"/>
      <c r="E36" s="19"/>
      <c r="F36" s="19"/>
      <c r="G36" s="19"/>
    </row>
  </sheetData>
  <mergeCells count="1"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152</v>
      </c>
    </row>
    <row r="3" customFormat="false" ht="15" hidden="false" customHeight="false" outlineLevel="0" collapsed="false">
      <c r="A3" s="3" t="s">
        <v>153</v>
      </c>
    </row>
    <row r="4" customFormat="false" ht="15" hidden="false" customHeight="false" outlineLevel="0" collapsed="false">
      <c r="A4" s="2" t="s">
        <v>154</v>
      </c>
      <c r="B4" s="20" t="n">
        <f aca="false">Supuestos!$B$9</f>
        <v>8900</v>
      </c>
    </row>
    <row r="5" customFormat="false" ht="15" hidden="false" customHeight="false" outlineLevel="0" collapsed="false">
      <c r="A5" s="2" t="s">
        <v>101</v>
      </c>
      <c r="B5" s="20" t="n">
        <f aca="false">B4/(1+Supuestos!$B$10)</f>
        <v>7672.41379310345</v>
      </c>
    </row>
    <row r="6" customFormat="false" ht="15" hidden="false" customHeight="false" outlineLevel="0" collapsed="false">
      <c r="A6" s="2" t="s">
        <v>155</v>
      </c>
      <c r="B6" s="20" t="n">
        <f aca="false">B5-B4*Supuestos!$B$15-Supuestos!$B$16</f>
        <v>7349.01379310345</v>
      </c>
      <c r="C6" s="2" t="s">
        <v>156</v>
      </c>
    </row>
    <row r="7" customFormat="false" ht="15" hidden="false" customHeight="false" outlineLevel="0" collapsed="false">
      <c r="A7" s="2" t="s">
        <v>157</v>
      </c>
      <c r="B7" s="20" t="n">
        <f aca="false">B5*(1-Supuestos!$B$13)-B4*Supuestos!$B$18</f>
        <v>6432.55172413793</v>
      </c>
    </row>
    <row r="8" customFormat="false" ht="15" hidden="false" customHeight="false" outlineLevel="0" collapsed="false">
      <c r="A8" s="2" t="s">
        <v>158</v>
      </c>
      <c r="B8" s="20" t="n">
        <f aca="false">(Supuestos!$B$23+Supuestos!$B$27*Supuestos!$B$28+Supuestos!$B$29)*Supuestos!$B$11*60</f>
        <v>2797.74</v>
      </c>
      <c r="C8" s="2" t="s">
        <v>159</v>
      </c>
    </row>
    <row r="9" customFormat="false" ht="15" hidden="false" customHeight="false" outlineLevel="0" collapsed="false">
      <c r="A9" s="2" t="s">
        <v>160</v>
      </c>
      <c r="B9" s="20" t="n">
        <f aca="false">(Supuestos!$B$24+Supuestos!$B$27*Supuestos!$B$28+Supuestos!$B$29)*Supuestos!$B$11*60</f>
        <v>8494.956</v>
      </c>
    </row>
    <row r="10" customFormat="false" ht="15" hidden="false" customHeight="false" outlineLevel="0" collapsed="false">
      <c r="A10" s="2" t="s">
        <v>161</v>
      </c>
      <c r="B10" s="20" t="n">
        <f aca="false">B6-B8</f>
        <v>4551.27379310345</v>
      </c>
    </row>
    <row r="11" customFormat="false" ht="15" hidden="false" customHeight="false" outlineLevel="0" collapsed="false">
      <c r="A11" s="2" t="s">
        <v>162</v>
      </c>
      <c r="B11" s="20" t="n">
        <f aca="false">B6-B9</f>
        <v>-1145.94220689655</v>
      </c>
    </row>
    <row r="12" customFormat="false" ht="15" hidden="false" customHeight="false" outlineLevel="0" collapsed="false">
      <c r="A12" s="2" t="s">
        <v>163</v>
      </c>
      <c r="B12" s="20" t="n">
        <f aca="false">B6*50</f>
        <v>367450.689655172</v>
      </c>
    </row>
    <row r="13" customFormat="false" ht="15" hidden="false" customHeight="false" outlineLevel="0" collapsed="false">
      <c r="A13" s="2" t="s">
        <v>164</v>
      </c>
      <c r="B13" s="23" t="n">
        <f aca="false">B6/((Supuestos!$B$24+Supuestos!$B$27*Supuestos!$B$28+Supuestos!$B$29)*Supuestos!$B$11)</f>
        <v>51.9061932264519</v>
      </c>
    </row>
    <row r="14" customFormat="false" ht="15" hidden="false" customHeight="false" outlineLevel="0" collapsed="false">
      <c r="A14" s="3" t="s">
        <v>165</v>
      </c>
    </row>
    <row r="15" customFormat="false" ht="15" hidden="false" customHeight="false" outlineLevel="0" collapsed="false">
      <c r="A15" s="2" t="s">
        <v>154</v>
      </c>
      <c r="B15" s="20" t="n">
        <f aca="false">Supuestos!$B$8</f>
        <v>3990</v>
      </c>
    </row>
    <row r="16" customFormat="false" ht="15" hidden="false" customHeight="false" outlineLevel="0" collapsed="false">
      <c r="A16" s="2" t="s">
        <v>166</v>
      </c>
      <c r="B16" s="20" t="n">
        <f aca="false">B15/12</f>
        <v>332.5</v>
      </c>
    </row>
    <row r="17" customFormat="false" ht="15" hidden="false" customHeight="false" outlineLevel="0" collapsed="false">
      <c r="A17" s="2" t="s">
        <v>167</v>
      </c>
      <c r="B17" s="18" t="n">
        <f aca="false">1-B15/(Supuestos!$B$6*12)</f>
        <v>0.259465478841871</v>
      </c>
      <c r="C17" s="2" t="s">
        <v>168</v>
      </c>
    </row>
    <row r="18" customFormat="false" ht="15" hidden="false" customHeight="false" outlineLevel="0" collapsed="false">
      <c r="A18" s="2" t="s">
        <v>169</v>
      </c>
      <c r="B18" s="20" t="n">
        <f aca="false">B15/(1+Supuestos!$B$10)-B15*Supuestos!$B$15-Supuestos!$B$16-B15*Supuestos!$B$17</f>
        <v>3265.08517241379</v>
      </c>
    </row>
    <row r="19" customFormat="false" ht="15" hidden="false" customHeight="false" outlineLevel="0" collapsed="false">
      <c r="A19" s="2" t="s">
        <v>170</v>
      </c>
      <c r="B19" s="20" t="n">
        <f aca="false">B15/(1+Supuestos!$B$10)*(1-Supuestos!$B$13)-B15*Supuestos!$B$18</f>
        <v>2883.80689655172</v>
      </c>
    </row>
    <row r="20" customFormat="false" ht="15" hidden="false" customHeight="false" outlineLevel="0" collapsed="false">
      <c r="A20" s="2" t="s">
        <v>171</v>
      </c>
      <c r="B20" s="20" t="n">
        <f aca="false">(Supuestos!$B$23+Supuestos!$B$27*Supuestos!$B$28+Supuestos!$B$29)*Supuestos!$B$11*12+Supuestos!$B$30*Supuestos!$B$11</f>
        <v>562.9392</v>
      </c>
    </row>
    <row r="21" customFormat="false" ht="15" hidden="false" customHeight="false" outlineLevel="0" collapsed="false">
      <c r="A21" s="2" t="s">
        <v>172</v>
      </c>
      <c r="B21" s="20" t="n">
        <f aca="false">B18-B20</f>
        <v>2702.14597241379</v>
      </c>
    </row>
    <row r="22" customFormat="false" ht="15" hidden="false" customHeight="false" outlineLevel="0" collapsed="false">
      <c r="A22" s="2" t="s">
        <v>173</v>
      </c>
      <c r="B22" s="20" t="n">
        <f aca="false">B19-B20</f>
        <v>2320.86769655172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174</v>
      </c>
    </row>
    <row r="3" customFormat="false" ht="15" hidden="false" customHeight="false" outlineLevel="0" collapsed="false">
      <c r="A3" s="3" t="s">
        <v>175</v>
      </c>
      <c r="B3" s="3" t="s">
        <v>176</v>
      </c>
      <c r="C3" s="3" t="s">
        <v>177</v>
      </c>
    </row>
    <row r="4" customFormat="false" ht="15" hidden="false" customHeight="false" outlineLevel="0" collapsed="false">
      <c r="A4" s="2" t="s">
        <v>178</v>
      </c>
      <c r="B4" s="2" t="s">
        <v>179</v>
      </c>
      <c r="C4" s="2" t="s">
        <v>180</v>
      </c>
    </row>
    <row r="5" customFormat="false" ht="15" hidden="false" customHeight="false" outlineLevel="0" collapsed="false">
      <c r="A5" s="2" t="s">
        <v>181</v>
      </c>
      <c r="B5" s="2" t="s">
        <v>182</v>
      </c>
      <c r="C5" s="2" t="s">
        <v>183</v>
      </c>
    </row>
    <row r="6" customFormat="false" ht="15" hidden="false" customHeight="false" outlineLevel="0" collapsed="false">
      <c r="A6" s="2" t="s">
        <v>184</v>
      </c>
      <c r="B6" s="2" t="s">
        <v>185</v>
      </c>
      <c r="C6" s="2" t="s">
        <v>186</v>
      </c>
    </row>
    <row r="7" customFormat="false" ht="15" hidden="false" customHeight="false" outlineLevel="0" collapsed="false">
      <c r="A7" s="2" t="s">
        <v>187</v>
      </c>
      <c r="B7" s="2" t="s">
        <v>188</v>
      </c>
      <c r="C7" s="2" t="s">
        <v>189</v>
      </c>
    </row>
    <row r="8" customFormat="false" ht="15" hidden="false" customHeight="false" outlineLevel="0" collapsed="false">
      <c r="A8" s="2" t="s">
        <v>190</v>
      </c>
      <c r="B8" s="2" t="s">
        <v>191</v>
      </c>
      <c r="C8" s="2" t="s">
        <v>192</v>
      </c>
    </row>
    <row r="9" customFormat="false" ht="15" hidden="false" customHeight="false" outlineLevel="0" collapsed="false">
      <c r="A9" s="2" t="s">
        <v>193</v>
      </c>
      <c r="B9" s="2" t="s">
        <v>194</v>
      </c>
      <c r="C9" s="2" t="s">
        <v>195</v>
      </c>
    </row>
    <row r="10" customFormat="false" ht="15" hidden="false" customHeight="false" outlineLevel="0" collapsed="false">
      <c r="A10" s="2" t="s">
        <v>196</v>
      </c>
      <c r="B10" s="2" t="s">
        <v>197</v>
      </c>
      <c r="C10" s="2" t="s">
        <v>198</v>
      </c>
    </row>
    <row r="11" customFormat="false" ht="15" hidden="false" customHeight="false" outlineLevel="0" collapsed="false">
      <c r="A11" s="2" t="s">
        <v>199</v>
      </c>
      <c r="B11" s="2" t="s">
        <v>200</v>
      </c>
      <c r="C11" s="2" t="s">
        <v>201</v>
      </c>
    </row>
    <row r="12" customFormat="false" ht="15" hidden="false" customHeight="false" outlineLevel="0" collapsed="false">
      <c r="A12" s="2" t="s">
        <v>202</v>
      </c>
      <c r="B12" s="2" t="s">
        <v>203</v>
      </c>
      <c r="C12" s="2" t="s">
        <v>204</v>
      </c>
    </row>
    <row r="13" customFormat="false" ht="15" hidden="false" customHeight="false" outlineLevel="0" collapsed="false">
      <c r="A13" s="2" t="s">
        <v>205</v>
      </c>
      <c r="B13" s="2" t="s">
        <v>206</v>
      </c>
      <c r="C13" s="2" t="s">
        <v>207</v>
      </c>
    </row>
    <row r="14" customFormat="false" ht="15" hidden="false" customHeight="false" outlineLevel="0" collapsed="false">
      <c r="A14" s="2" t="s">
        <v>208</v>
      </c>
      <c r="B14" s="2" t="s">
        <v>209</v>
      </c>
      <c r="C14" s="2" t="s">
        <v>210</v>
      </c>
    </row>
    <row r="15" customFormat="false" ht="15" hidden="false" customHeight="false" outlineLevel="0" collapsed="false">
      <c r="A15" s="2" t="s">
        <v>64</v>
      </c>
      <c r="B15" s="2" t="s">
        <v>211</v>
      </c>
      <c r="C15" s="2" t="s">
        <v>212</v>
      </c>
    </row>
    <row r="16" customFormat="false" ht="15" hidden="false" customHeight="false" outlineLevel="0" collapsed="false">
      <c r="A16" s="2" t="s">
        <v>66</v>
      </c>
      <c r="B16" s="2" t="s">
        <v>213</v>
      </c>
      <c r="C16" s="2" t="s">
        <v>214</v>
      </c>
    </row>
    <row r="17" customFormat="false" ht="15" hidden="false" customHeight="false" outlineLevel="0" collapsed="false">
      <c r="A17" s="2" t="s">
        <v>68</v>
      </c>
      <c r="B17" s="2" t="s">
        <v>215</v>
      </c>
      <c r="C17" s="2" t="s">
        <v>216</v>
      </c>
    </row>
    <row r="18" customFormat="false" ht="15" hidden="false" customHeight="false" outlineLevel="0" collapsed="false">
      <c r="A18" s="2" t="s">
        <v>217</v>
      </c>
      <c r="B18" s="2" t="s">
        <v>218</v>
      </c>
      <c r="C18" s="2" t="s">
        <v>219</v>
      </c>
    </row>
    <row r="19" customFormat="false" ht="15" hidden="false" customHeight="false" outlineLevel="0" collapsed="false">
      <c r="A19" s="2" t="s">
        <v>220</v>
      </c>
      <c r="B19" s="2" t="s">
        <v>221</v>
      </c>
      <c r="C19" s="2" t="s">
        <v>222</v>
      </c>
    </row>
    <row r="20" customFormat="false" ht="15" hidden="false" customHeight="false" outlineLevel="0" collapsed="false">
      <c r="A20" s="2" t="s">
        <v>223</v>
      </c>
      <c r="B20" s="2" t="s">
        <v>224</v>
      </c>
      <c r="C20" s="2" t="s">
        <v>225</v>
      </c>
    </row>
    <row r="21" customFormat="false" ht="15" hidden="false" customHeight="false" outlineLevel="0" collapsed="false">
      <c r="A21" s="2" t="s">
        <v>226</v>
      </c>
      <c r="B21" s="2" t="s">
        <v>227</v>
      </c>
      <c r="C21" s="2" t="s">
        <v>228</v>
      </c>
    </row>
    <row r="22" customFormat="false" ht="15" hidden="false" customHeight="false" outlineLevel="0" collapsed="false">
      <c r="A22" s="2" t="s">
        <v>229</v>
      </c>
      <c r="B22" s="2" t="s">
        <v>230</v>
      </c>
      <c r="C22" s="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2026-09-04T20:57:56Z</dcterms:created>
  <dc:creator>openpyxl</dc:creator>
  <dc:description/>
  <dc:language>en-US</dc:language>
  <cp:lastModifiedBy/>
  <dcterms:modified xsi:type="dcterms:W3CDTF">2026-09-04T20:57:56Z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