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Inputs" sheetId="2" state="visible" r:id="rId2"/>
    <sheet xmlns:r="http://schemas.openxmlformats.org/officeDocument/2006/relationships" name="2_Area_Labs" sheetId="3" state="visible" r:id="rId3"/>
    <sheet xmlns:r="http://schemas.openxmlformats.org/officeDocument/2006/relationships" name="3_Area_Composicion" sheetId="4" state="visible" r:id="rId4"/>
    <sheet xmlns:r="http://schemas.openxmlformats.org/officeDocument/2006/relationships" name="4_Area_Fitness" sheetId="5" state="visible" r:id="rId5"/>
    <sheet xmlns:r="http://schemas.openxmlformats.org/officeDocument/2006/relationships" name="5_Area_Cognicion" sheetId="6" state="visible" r:id="rId6"/>
    <sheet xmlns:r="http://schemas.openxmlformats.org/officeDocument/2006/relationships" name="6_Area_Riesgos" sheetId="7" state="visible" r:id="rId7"/>
    <sheet xmlns:r="http://schemas.openxmlformats.org/officeDocument/2006/relationships" name="7_Habitos_Modulador" sheetId="8" state="visible" r:id="rId8"/>
    <sheet xmlns:r="http://schemas.openxmlformats.org/officeDocument/2006/relationships" name="8_MOTOR_Resultad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0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b val="1"/>
      <color rgb="00006100"/>
      <sz val="12"/>
    </font>
    <font>
      <b val="1"/>
      <sz val="12"/>
    </font>
    <font>
      <b val="1"/>
      <color rgb="00FFFFFF"/>
      <sz val="14"/>
    </font>
    <font>
      <b val="1"/>
      <color rgb="00FFFFFF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8" fillId="7" borderId="0" pivotButton="0" quotePrefix="0" xfId="0"/>
    <xf numFmtId="0" fontId="9" fillId="7" borderId="0" pivotButton="0" quotePrefix="0" xfId="0"/>
    <xf numFmtId="0" fontId="8" fillId="7" borderId="0" applyAlignment="1" pivotButton="0" quotePrefix="0" xfId="0">
      <alignment horizontal="center" vertical="center"/>
    </xf>
    <xf numFmtId="0" fontId="1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60" customWidth="1" min="3" max="3"/>
  </cols>
  <sheetData>
    <row r="1">
      <c r="A1" s="1" t="inlineStr">
        <is>
          <t>EDAD ATP MOTOR v1.0 — 5 ÁREAS CIEGAS</t>
        </is>
      </c>
    </row>
    <row r="3">
      <c r="A3" s="2" t="inlineStr">
        <is>
          <t>Autoría algoritmo:</t>
        </is>
      </c>
      <c r="B3" t="inlineStr">
        <is>
          <t>Enrique Zapata</t>
        </is>
      </c>
    </row>
    <row r="4">
      <c r="A4" s="2" t="inlineStr">
        <is>
          <t>Validación clínica:</t>
        </is>
      </c>
      <c r="B4" t="inlineStr">
        <is>
          <t>Dra. Mariana Doria</t>
        </is>
      </c>
    </row>
    <row r="5">
      <c r="A5" s="2" t="inlineStr">
        <is>
          <t>Versión motor:</t>
        </is>
      </c>
      <c r="B5" t="inlineStr">
        <is>
          <t>2.0 FINAL (arquitectura por áreas ciegas, anclaje por confiabilidad)</t>
        </is>
      </c>
    </row>
    <row r="6">
      <c r="A6" s="2" t="inlineStr">
        <is>
          <t>Reemplaza:</t>
        </is>
      </c>
      <c r="B6" t="inlineStr">
        <is>
          <t>Motor v1 (SF global → curva piecewise)</t>
        </is>
      </c>
    </row>
    <row r="7">
      <c r="A7" s="2" t="inlineStr">
        <is>
          <t>Matriz fuente:</t>
        </is>
      </c>
      <c r="B7" t="inlineStr">
        <is>
          <t>V8 HOMBRES + V8 MUJERES</t>
        </is>
      </c>
    </row>
    <row r="9">
      <c r="A9" s="3" t="inlineStr">
        <is>
          <t>ARQUITECTURA</t>
        </is>
      </c>
    </row>
    <row r="10">
      <c r="A10" t="inlineStr">
        <is>
          <t>1. Cada área calcula UNA EDAD parcial (ciega, sin saber cronológica)</t>
        </is>
      </c>
    </row>
    <row r="11">
      <c r="A11" t="inlineStr">
        <is>
          <t>2. Cada edad parcial se ancla a cronológica con factor (evita extremos)</t>
        </is>
      </c>
    </row>
    <row r="12">
      <c r="A12" t="inlineStr">
        <is>
          <t>3. Promedio ponderado de las 5 áreas × modulador Hábitos = Edad ATP Integral</t>
        </is>
      </c>
    </row>
    <row r="13">
      <c r="A13" t="inlineStr">
        <is>
          <t>4. Clamp [20, 100]</t>
        </is>
      </c>
    </row>
    <row r="15">
      <c r="A15" s="3" t="inlineStr">
        <is>
          <t>CONFIGURACIÓN (ajustable)</t>
        </is>
      </c>
    </row>
    <row r="16">
      <c r="A16" s="2" t="inlineStr">
        <is>
          <t>Factor anclaje a cronológica</t>
        </is>
      </c>
      <c r="B16" s="4" t="n">
        <v>0.7</v>
      </c>
      <c r="C16" s="16" t="inlineStr">
        <is>
          <t>OBSOLETO — usar factores por área abajo</t>
        </is>
      </c>
    </row>
    <row r="17">
      <c r="A17" s="2" t="inlineStr">
        <is>
          <t>Cap mínimo Edad ATP</t>
        </is>
      </c>
      <c r="B17" s="4" t="n">
        <v>20</v>
      </c>
      <c r="C17" t="inlineStr">
        <is>
          <t>Mínimo absoluto</t>
        </is>
      </c>
    </row>
    <row r="18">
      <c r="A18" s="2" t="inlineStr">
        <is>
          <t>Cap máximo Edad ATP</t>
        </is>
      </c>
      <c r="B18" s="4" t="n">
        <v>100</v>
      </c>
      <c r="C18" t="inlineStr">
        <is>
          <t>Máximo absoluto</t>
        </is>
      </c>
    </row>
    <row r="19">
      <c r="A19" s="2" t="inlineStr">
        <is>
          <t>Peso Labs Clínicos</t>
        </is>
      </c>
      <c r="B19" s="4" t="n">
        <v>0.25</v>
      </c>
      <c r="C19" t="inlineStr">
        <is>
          <t>PhenoAge + modificadores funcionales</t>
        </is>
      </c>
    </row>
    <row r="20">
      <c r="A20" s="2" t="inlineStr">
        <is>
          <t>Peso Composición</t>
        </is>
      </c>
      <c r="B20" s="4" t="n">
        <v>0.15</v>
      </c>
      <c r="C20" t="inlineStr">
        <is>
          <t>FFMI + grasa + músculo + visceral</t>
        </is>
      </c>
    </row>
    <row r="21">
      <c r="A21" s="2" t="inlineStr">
        <is>
          <t>Peso Fitness</t>
        </is>
      </c>
      <c r="B21" s="4" t="n">
        <v>0.2</v>
      </c>
      <c r="C21" t="inlineStr">
        <is>
          <t>VO2max + tests funcionales</t>
        </is>
      </c>
    </row>
    <row r="22">
      <c r="A22" s="2" t="inlineStr">
        <is>
          <t>Peso Cognición</t>
        </is>
      </c>
      <c r="B22" s="4" t="n">
        <v>0.15</v>
      </c>
      <c r="C22" t="inlineStr">
        <is>
          <t>RT Simple + Choice + Go-NoGo + subjetivos</t>
        </is>
      </c>
    </row>
    <row r="23">
      <c r="A23" s="2" t="inlineStr">
        <is>
          <t>Peso Riesgos</t>
        </is>
      </c>
      <c r="B23" s="4" t="n">
        <v>0.25</v>
      </c>
      <c r="C23" t="inlineStr">
        <is>
          <t>Cardio + metab + inflam + horm + hepato-renal</t>
        </is>
      </c>
    </row>
    <row r="24">
      <c r="A24" s="3" t="inlineStr">
        <is>
          <t>FACTOR ANCLAJE POR ÁREA (CONFIG FINAL — congelada)</t>
        </is>
      </c>
    </row>
    <row r="25">
      <c r="A25" s="2" t="inlineStr">
        <is>
          <t>Factor anclaje Labs</t>
        </is>
      </c>
      <c r="B25" s="4" t="n">
        <v>0.75</v>
      </c>
      <c r="C25" t="inlineStr">
        <is>
          <t>Alta: PhenoAge validado + labs duros</t>
        </is>
      </c>
      <c r="D25" t="inlineStr">
        <is>
          <t>← CONFIG FINAL</t>
        </is>
      </c>
    </row>
    <row r="26">
      <c r="A26" s="2" t="inlineStr">
        <is>
          <t>Factor anclaje Composición</t>
        </is>
      </c>
      <c r="B26" s="4" t="n">
        <v>0.7</v>
      </c>
      <c r="C26" t="inlineStr">
        <is>
          <t>Media-Alta: báscula + FFMI</t>
        </is>
      </c>
    </row>
    <row r="27">
      <c r="A27" s="17" t="inlineStr">
        <is>
          <t>Factor anclaje Fitness</t>
        </is>
      </c>
      <c r="B27" s="18" t="n">
        <v>0.65</v>
      </c>
      <c r="C27" s="5" t="inlineStr">
        <is>
          <t>Media: tests in-app con motivación</t>
        </is>
      </c>
      <c r="D27" s="5" t="inlineStr">
        <is>
          <t>Perfil esperado (edad biológica)</t>
        </is>
      </c>
    </row>
    <row r="28">
      <c r="A28" s="2" t="inlineStr">
        <is>
          <t>Factor anclaje Cognición</t>
        </is>
      </c>
      <c r="B28" s="4" t="n">
        <v>0.55</v>
      </c>
      <c r="C28" t="inlineStr">
        <is>
          <t>Media-Baja: subjetivos ruidosos</t>
        </is>
      </c>
      <c r="D28" t="inlineStr">
        <is>
          <t>~50-55 (perfil sano-medio)</t>
        </is>
      </c>
    </row>
    <row r="29">
      <c r="A29" s="2" t="inlineStr">
        <is>
          <t>Factor anclaje Riesgos</t>
        </is>
      </c>
      <c r="B29" s="4" t="n">
        <v>0.75</v>
      </c>
      <c r="C29" t="inlineStr">
        <is>
          <t>Alta: mayoría labs + sub-bloques diluidos</t>
        </is>
      </c>
      <c r="D29" t="inlineStr">
        <is>
          <t>~22-28 (atleta GWR)</t>
        </is>
      </c>
    </row>
    <row r="30">
      <c r="A30" t="inlineStr">
        <is>
          <t>M1</t>
        </is>
      </c>
      <c r="B30" t="inlineStr">
        <is>
          <t>Mujer sintética joven optimizada</t>
        </is>
      </c>
      <c r="C30" t="n">
        <v>28</v>
      </c>
      <c r="D30" t="inlineStr">
        <is>
          <t>~22-26 (atleta CrossFit)</t>
        </is>
      </c>
    </row>
    <row r="31">
      <c r="A31" t="inlineStr">
        <is>
          <t>M2</t>
        </is>
      </c>
      <c r="B31" t="inlineStr">
        <is>
          <t>Mujer sintética con riesgos</t>
        </is>
      </c>
      <c r="C31" t="n">
        <v>65</v>
      </c>
      <c r="D31" t="inlineStr">
        <is>
          <t>~65-72 (sedentaria, DM2 controlada)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6" t="inlineStr">
        <is>
          <t>INPUTS — todos los params por paciente</t>
        </is>
      </c>
    </row>
    <row r="3">
      <c r="A3" s="5" t="inlineStr">
        <is>
          <t>Param</t>
        </is>
      </c>
      <c r="B3" s="5" t="inlineStr">
        <is>
          <t>Unidad</t>
        </is>
      </c>
      <c r="C3" s="5" t="inlineStr">
        <is>
          <t>H1 (cron 50)</t>
        </is>
      </c>
      <c r="D3" s="5" t="inlineStr">
        <is>
          <t>H2 Enrique (35)</t>
        </is>
      </c>
      <c r="E3" s="5" t="inlineStr">
        <is>
          <t>M1 Mujer (28)</t>
        </is>
      </c>
      <c r="F3" s="5" t="inlineStr">
        <is>
          <t>M2 Mujer (65)</t>
        </is>
      </c>
      <c r="G3" s="5" t="inlineStr">
        <is>
          <t>Notas</t>
        </is>
      </c>
    </row>
    <row r="4">
      <c r="A4" s="7" t="inlineStr">
        <is>
          <t>— DATOS BÁSICOS —</t>
        </is>
      </c>
    </row>
    <row r="5">
      <c r="A5" t="inlineStr">
        <is>
          <t>Edad cronológica</t>
        </is>
      </c>
      <c r="B5" t="inlineStr">
        <is>
          <t>años</t>
        </is>
      </c>
      <c r="C5" s="4" t="n">
        <v>50</v>
      </c>
      <c r="D5" s="4" t="n">
        <v>35.83</v>
      </c>
      <c r="E5" s="4" t="n">
        <v>28</v>
      </c>
      <c r="F5" s="4" t="n">
        <v>65</v>
      </c>
    </row>
    <row r="6">
      <c r="A6" t="inlineStr">
        <is>
          <t>Sexo (M=1, F=0)</t>
        </is>
      </c>
      <c r="B6" t="inlineStr">
        <is>
          <t>-</t>
        </is>
      </c>
      <c r="C6" s="4" t="n">
        <v>1</v>
      </c>
      <c r="D6" s="4" t="n">
        <v>1</v>
      </c>
      <c r="E6" s="4" t="n">
        <v>0</v>
      </c>
      <c r="F6" s="4" t="n">
        <v>0</v>
      </c>
      <c r="G6" t="inlineStr">
        <is>
          <t>Para fórmulas sexo-específicas</t>
        </is>
      </c>
    </row>
    <row r="8">
      <c r="A8" s="7" t="inlineStr">
        <is>
          <t>— LABS PhenoAge (9 biomarkers) —</t>
        </is>
      </c>
    </row>
    <row r="9">
      <c r="A9" t="inlineStr">
        <is>
          <t>Albúmina</t>
        </is>
      </c>
      <c r="B9" t="inlineStr">
        <is>
          <t>g/dL</t>
        </is>
      </c>
      <c r="C9" s="4" t="n">
        <v>5.28</v>
      </c>
      <c r="D9" s="4" t="n">
        <v>4.48</v>
      </c>
      <c r="E9" s="4" t="n">
        <v>4.7</v>
      </c>
      <c r="F9" s="4" t="n">
        <v>4</v>
      </c>
    </row>
    <row r="10">
      <c r="A10" t="inlineStr">
        <is>
          <t>Creatinina sérica</t>
        </is>
      </c>
      <c r="B10" t="inlineStr">
        <is>
          <t>mg/dL</t>
        </is>
      </c>
      <c r="C10" s="4" t="n">
        <v>0.8100000000000001</v>
      </c>
      <c r="D10" s="4" t="n">
        <v>1.11</v>
      </c>
      <c r="E10" s="4" t="n">
        <v>0.78</v>
      </c>
      <c r="F10" s="4" t="n">
        <v>1.05</v>
      </c>
    </row>
    <row r="11">
      <c r="A11" t="inlineStr">
        <is>
          <t>Glucosa ayuno</t>
        </is>
      </c>
      <c r="B11" t="inlineStr">
        <is>
          <t>mg/dL</t>
        </is>
      </c>
      <c r="C11" s="4" t="n">
        <v>90</v>
      </c>
      <c r="D11" s="4" t="n">
        <v>75</v>
      </c>
      <c r="E11" s="4" t="n">
        <v>82</v>
      </c>
      <c r="F11" s="4" t="n">
        <v>105</v>
      </c>
    </row>
    <row r="12">
      <c r="A12" t="inlineStr">
        <is>
          <t>PCR (CRP)</t>
        </is>
      </c>
      <c r="B12" t="inlineStr">
        <is>
          <t>mg/dL</t>
        </is>
      </c>
      <c r="C12" s="4" t="n">
        <v>0.18</v>
      </c>
      <c r="D12" s="4" t="n">
        <v>0.2</v>
      </c>
      <c r="E12" s="4" t="n">
        <v>0.1</v>
      </c>
      <c r="F12" s="4" t="n">
        <v>0.5</v>
      </c>
    </row>
    <row r="13">
      <c r="A13" t="inlineStr">
        <is>
          <t>% Linfocitos</t>
        </is>
      </c>
      <c r="B13" t="inlineStr">
        <is>
          <t>%</t>
        </is>
      </c>
      <c r="C13" s="4" t="n">
        <v>33</v>
      </c>
      <c r="D13" s="4" t="n">
        <v>43</v>
      </c>
      <c r="E13" s="4" t="n">
        <v>38</v>
      </c>
      <c r="F13" s="4" t="n">
        <v>28</v>
      </c>
    </row>
    <row r="14">
      <c r="A14" t="inlineStr">
        <is>
          <t>VCM (MCV)</t>
        </is>
      </c>
      <c r="B14" t="inlineStr">
        <is>
          <t>fL</t>
        </is>
      </c>
      <c r="C14" s="4" t="n">
        <v>90</v>
      </c>
      <c r="D14" s="4" t="n">
        <v>88.59999999999999</v>
      </c>
      <c r="E14" s="4" t="n">
        <v>89</v>
      </c>
      <c r="F14" s="4" t="n">
        <v>92</v>
      </c>
    </row>
    <row r="15">
      <c r="A15" t="inlineStr">
        <is>
          <t>RDW-CV</t>
        </is>
      </c>
      <c r="B15" t="inlineStr">
        <is>
          <t>%</t>
        </is>
      </c>
      <c r="C15" s="4" t="n">
        <v>12.8</v>
      </c>
      <c r="D15" s="4" t="n">
        <v>12.9</v>
      </c>
      <c r="E15" s="4" t="n">
        <v>12.5</v>
      </c>
      <c r="F15" s="4" t="n">
        <v>14.2</v>
      </c>
    </row>
    <row r="16">
      <c r="A16" t="inlineStr">
        <is>
          <t>Fosfatasa Alcalina</t>
        </is>
      </c>
      <c r="B16" t="inlineStr">
        <is>
          <t>U/L</t>
        </is>
      </c>
      <c r="C16" s="4" t="n">
        <v>71</v>
      </c>
      <c r="D16" s="4" t="n">
        <v>57</v>
      </c>
      <c r="E16" s="4" t="n">
        <v>65</v>
      </c>
      <c r="F16" s="4" t="n">
        <v>80</v>
      </c>
    </row>
    <row r="17">
      <c r="A17" t="inlineStr">
        <is>
          <t>Leucocitos (WBC)</t>
        </is>
      </c>
      <c r="B17" t="inlineStr">
        <is>
          <t>×10³/μL</t>
        </is>
      </c>
      <c r="C17" s="4" t="n">
        <v>7.4</v>
      </c>
      <c r="D17" s="4" t="n">
        <v>5.9</v>
      </c>
      <c r="E17" s="4" t="n">
        <v>6.2</v>
      </c>
      <c r="F17" s="4" t="n">
        <v>7.8</v>
      </c>
    </row>
    <row r="19">
      <c r="A19" s="7" t="inlineStr">
        <is>
          <t>— LABS modificadores funcionales —</t>
        </is>
      </c>
    </row>
    <row r="20">
      <c r="A20" t="inlineStr">
        <is>
          <t>Vit D (25-OH)</t>
        </is>
      </c>
      <c r="B20" t="inlineStr">
        <is>
          <t>ng/mL</t>
        </is>
      </c>
      <c r="C20" s="4" t="n">
        <v>33.4</v>
      </c>
      <c r="D20" s="4" t="n">
        <v>51.8</v>
      </c>
      <c r="E20" s="4" t="n">
        <v>45</v>
      </c>
      <c r="F20" s="4" t="n">
        <v>22</v>
      </c>
    </row>
    <row r="21">
      <c r="A21" t="inlineStr">
        <is>
          <t>Vit B12</t>
        </is>
      </c>
      <c r="B21" t="inlineStr">
        <is>
          <t>pg/mL</t>
        </is>
      </c>
      <c r="C21" s="4" t="n">
        <v>502</v>
      </c>
      <c r="D21" s="4" t="n">
        <v>163</v>
      </c>
      <c r="E21" s="4" t="n">
        <v>580</v>
      </c>
      <c r="F21" s="4" t="n">
        <v>350</v>
      </c>
    </row>
    <row r="22">
      <c r="A22" t="inlineStr">
        <is>
          <t>Homocisteína</t>
        </is>
      </c>
      <c r="B22" t="inlineStr">
        <is>
          <t>μmol/L</t>
        </is>
      </c>
      <c r="C22" s="4" t="n">
        <v>13.72</v>
      </c>
      <c r="D22" s="4" t="n">
        <v>8</v>
      </c>
      <c r="E22" s="4" t="n">
        <v>7</v>
      </c>
      <c r="F22" s="4" t="n">
        <v>14</v>
      </c>
    </row>
    <row r="23">
      <c r="A23" t="inlineStr">
        <is>
          <t>Ferritina</t>
        </is>
      </c>
      <c r="B23" t="inlineStr">
        <is>
          <t>ng/mL</t>
        </is>
      </c>
      <c r="C23" s="4" t="n">
        <v>291</v>
      </c>
      <c r="D23" s="4" t="n">
        <v>135</v>
      </c>
      <c r="E23" s="4" t="n">
        <v>80</v>
      </c>
      <c r="F23" s="4" t="n">
        <v>200</v>
      </c>
    </row>
    <row r="24">
      <c r="A24" t="inlineStr">
        <is>
          <t>TSH</t>
        </is>
      </c>
      <c r="B24" t="inlineStr">
        <is>
          <t>μUI/mL</t>
        </is>
      </c>
      <c r="C24" s="4" t="n">
        <v>1.57</v>
      </c>
      <c r="D24" s="4" t="n">
        <v>2.14</v>
      </c>
      <c r="E24" s="4" t="n">
        <v>1.8</v>
      </c>
      <c r="F24" s="4" t="n">
        <v>3.5</v>
      </c>
    </row>
    <row r="25">
      <c r="A25" t="inlineStr">
        <is>
          <t>Cortisol matutino</t>
        </is>
      </c>
      <c r="B25" t="inlineStr">
        <is>
          <t>μg/dL</t>
        </is>
      </c>
      <c r="C25" s="4" t="n">
        <v>8</v>
      </c>
      <c r="D25" s="4" t="n">
        <v>11.2</v>
      </c>
      <c r="E25" s="4" t="n">
        <v>12</v>
      </c>
      <c r="F25" s="4" t="n">
        <v>16</v>
      </c>
    </row>
    <row r="26">
      <c r="A26" t="inlineStr">
        <is>
          <t>Bilirrubina total</t>
        </is>
      </c>
      <c r="B26" t="inlineStr">
        <is>
          <t>mg/dL</t>
        </is>
      </c>
      <c r="C26" s="4" t="n">
        <v>0.57</v>
      </c>
      <c r="D26" s="4" t="n">
        <v>0.44</v>
      </c>
      <c r="E26" s="4" t="n">
        <v>0.6</v>
      </c>
      <c r="F26" s="4" t="n">
        <v>0.5</v>
      </c>
    </row>
    <row r="28">
      <c r="A28" s="7" t="inlineStr">
        <is>
          <t>— COMPOSICIÓN —</t>
        </is>
      </c>
    </row>
    <row r="29">
      <c r="A29" t="inlineStr">
        <is>
          <t>Peso</t>
        </is>
      </c>
      <c r="B29" t="inlineStr">
        <is>
          <t>kg</t>
        </is>
      </c>
      <c r="C29" s="4" t="n">
        <v>87.40000000000001</v>
      </c>
      <c r="D29" s="4" t="n">
        <v>79</v>
      </c>
      <c r="E29" s="4" t="n">
        <v>60</v>
      </c>
      <c r="F29" s="4" t="n">
        <v>70</v>
      </c>
    </row>
    <row r="30">
      <c r="A30" t="inlineStr">
        <is>
          <t>Altura</t>
        </is>
      </c>
      <c r="B30" t="inlineStr">
        <is>
          <t>cm</t>
        </is>
      </c>
      <c r="C30" s="4" t="n">
        <v>183</v>
      </c>
      <c r="D30" s="4" t="n">
        <v>176</v>
      </c>
      <c r="E30" s="4" t="n">
        <v>165</v>
      </c>
      <c r="F30" s="4" t="n">
        <v>160</v>
      </c>
    </row>
    <row r="31">
      <c r="A31" t="inlineStr">
        <is>
          <t>% Grasa corporal</t>
        </is>
      </c>
      <c r="B31" t="inlineStr">
        <is>
          <t>%</t>
        </is>
      </c>
      <c r="C31" s="4" t="n">
        <v>24.2</v>
      </c>
      <c r="D31" s="4" t="n">
        <v>11</v>
      </c>
      <c r="E31" s="4" t="n">
        <v>18</v>
      </c>
      <c r="F31" s="4" t="n">
        <v>32</v>
      </c>
    </row>
    <row r="32">
      <c r="A32" t="inlineStr">
        <is>
          <t>% Músculo esquelético</t>
        </is>
      </c>
      <c r="B32" t="inlineStr">
        <is>
          <t>%</t>
        </is>
      </c>
      <c r="C32" s="4" t="n">
        <v>34.6</v>
      </c>
      <c r="D32" s="4" t="n">
        <v>50</v>
      </c>
      <c r="E32" s="4" t="n">
        <v>38</v>
      </c>
      <c r="F32" s="4" t="n">
        <v>25</v>
      </c>
    </row>
    <row r="33">
      <c r="A33" t="inlineStr">
        <is>
          <t>Grasa visceral</t>
        </is>
      </c>
      <c r="B33" t="inlineStr">
        <is>
          <t>índice</t>
        </is>
      </c>
      <c r="C33" s="4" t="n">
        <v>10</v>
      </c>
      <c r="D33" s="4" t="n">
        <v>3</v>
      </c>
      <c r="E33" s="4" t="n">
        <v>2</v>
      </c>
      <c r="F33" s="4" t="n">
        <v>9</v>
      </c>
    </row>
    <row r="34">
      <c r="A34" t="inlineStr">
        <is>
          <t>Cintura</t>
        </is>
      </c>
      <c r="B34" t="inlineStr">
        <is>
          <t>cm</t>
        </is>
      </c>
      <c r="C34" s="4" t="n">
        <v>95</v>
      </c>
      <c r="D34" s="4" t="n">
        <v>80</v>
      </c>
      <c r="E34" s="4" t="n">
        <v>65</v>
      </c>
      <c r="F34" s="4" t="n">
        <v>88</v>
      </c>
    </row>
    <row r="35">
      <c r="A35" t="inlineStr">
        <is>
          <t>Ratio cintura/cadera</t>
        </is>
      </c>
      <c r="B35" t="inlineStr">
        <is>
          <t>ratio</t>
        </is>
      </c>
      <c r="C35" s="4" t="n">
        <v>0.9</v>
      </c>
      <c r="D35" s="4" t="n">
        <v>0.83</v>
      </c>
      <c r="E35" s="4" t="n">
        <v>0.72</v>
      </c>
      <c r="F35" s="4" t="n">
        <v>0.85</v>
      </c>
    </row>
    <row r="36">
      <c r="A36" t="inlineStr">
        <is>
          <t>FFMI</t>
        </is>
      </c>
      <c r="B36" t="inlineStr">
        <is>
          <t>calc</t>
        </is>
      </c>
      <c r="C36" s="4">
        <f>POWER(D17/100,2)*0+87.4*(1-0.242)/POWER(1.83,2)</f>
        <v/>
      </c>
      <c r="D36" s="4" t="n">
        <v>22.7</v>
      </c>
      <c r="E36" s="4" t="n">
        <v>17.5</v>
      </c>
      <c r="F36" s="4" t="n">
        <v>14.5</v>
      </c>
      <c r="G36" t="inlineStr">
        <is>
          <t>Calculado: peso×(1-%grasa)/altura²</t>
        </is>
      </c>
    </row>
    <row r="38">
      <c r="A38" s="7" t="inlineStr">
        <is>
          <t>— FITNESS (tests) —</t>
        </is>
      </c>
    </row>
    <row r="39">
      <c r="A39" t="inlineStr">
        <is>
          <t>VO2max estimado</t>
        </is>
      </c>
      <c r="B39" t="inlineStr">
        <is>
          <t>ml/kg/min</t>
        </is>
      </c>
      <c r="C39" s="4" t="n">
        <v>35</v>
      </c>
      <c r="D39" s="4" t="n">
        <v>55</v>
      </c>
      <c r="E39" s="4" t="n">
        <v>50</v>
      </c>
      <c r="F39" s="4" t="n">
        <v>22</v>
      </c>
    </row>
    <row r="40">
      <c r="A40" t="inlineStr">
        <is>
          <t>Push-ups máx continuas</t>
        </is>
      </c>
      <c r="B40" t="inlineStr">
        <is>
          <t>#</t>
        </is>
      </c>
      <c r="C40" s="4" t="n">
        <v>25</v>
      </c>
      <c r="D40" s="4" t="n">
        <v>60</v>
      </c>
      <c r="E40" s="4" t="n">
        <v>35</v>
      </c>
      <c r="F40" s="4" t="n">
        <v>5</v>
      </c>
    </row>
    <row r="41">
      <c r="A41" t="inlineStr">
        <is>
          <t>Sentadilla 60s</t>
        </is>
      </c>
      <c r="B41" t="inlineStr">
        <is>
          <t>#</t>
        </is>
      </c>
      <c r="C41" s="4" t="n">
        <v>30</v>
      </c>
      <c r="D41" s="4" t="n">
        <v>50</v>
      </c>
      <c r="E41" s="4" t="n">
        <v>45</v>
      </c>
      <c r="F41" s="4" t="n">
        <v>10</v>
      </c>
    </row>
    <row r="42">
      <c r="A42" t="inlineStr">
        <is>
          <t>Balance 1 pie ojos abiertos</t>
        </is>
      </c>
      <c r="B42" t="inlineStr">
        <is>
          <t>seg</t>
        </is>
      </c>
      <c r="C42" s="4" t="n">
        <v>45</v>
      </c>
      <c r="D42" s="4" t="n">
        <v>90</v>
      </c>
      <c r="E42" s="4" t="n">
        <v>120</v>
      </c>
      <c r="F42" s="4" t="n">
        <v>12</v>
      </c>
    </row>
    <row r="43">
      <c r="A43" t="inlineStr">
        <is>
          <t>Plank máx</t>
        </is>
      </c>
      <c r="B43" t="inlineStr">
        <is>
          <t>seg</t>
        </is>
      </c>
      <c r="C43" s="4" t="n">
        <v>90</v>
      </c>
      <c r="D43" s="4" t="n">
        <v>240</v>
      </c>
      <c r="E43" s="4" t="n">
        <v>180</v>
      </c>
      <c r="F43" s="4" t="n">
        <v>25</v>
      </c>
    </row>
    <row r="44">
      <c r="A44" t="inlineStr">
        <is>
          <t>BOLT</t>
        </is>
      </c>
      <c r="B44" t="inlineStr">
        <is>
          <t>seg</t>
        </is>
      </c>
      <c r="C44" s="4" t="n">
        <v>25</v>
      </c>
      <c r="D44" s="4" t="n">
        <v>40</v>
      </c>
      <c r="E44" s="4" t="n">
        <v>30</v>
      </c>
      <c r="F44" s="4" t="n">
        <v>15</v>
      </c>
    </row>
    <row r="45">
      <c r="A45" t="inlineStr">
        <is>
          <t>Recovery HR 2-min</t>
        </is>
      </c>
      <c r="B45" t="inlineStr">
        <is>
          <t>bpm caída</t>
        </is>
      </c>
      <c r="C45" s="4" t="n">
        <v>30</v>
      </c>
      <c r="D45" s="4" t="n">
        <v>50</v>
      </c>
      <c r="E45" s="4" t="n">
        <v>45</v>
      </c>
      <c r="F45" s="4" t="n">
        <v>18</v>
      </c>
    </row>
    <row r="46">
      <c r="A46" t="inlineStr">
        <is>
          <t>Old Man Test</t>
        </is>
      </c>
      <c r="B46" t="inlineStr">
        <is>
          <t>puntaje 0-10</t>
        </is>
      </c>
      <c r="C46" s="4" t="n">
        <v>8</v>
      </c>
      <c r="D46" s="4" t="n">
        <v>10</v>
      </c>
      <c r="E46" s="4" t="n">
        <v>10</v>
      </c>
      <c r="F46" s="4" t="n">
        <v>4</v>
      </c>
    </row>
    <row r="47">
      <c r="A47" t="inlineStr">
        <is>
          <t>Fuerza de agarre</t>
        </is>
      </c>
      <c r="B47" t="inlineStr">
        <is>
          <t>kg</t>
        </is>
      </c>
      <c r="C47" s="4" t="n">
        <v>57.4</v>
      </c>
      <c r="D47" s="4" t="n">
        <v>65</v>
      </c>
      <c r="E47" s="4" t="n">
        <v>38</v>
      </c>
      <c r="F47" s="4" t="n">
        <v>18</v>
      </c>
    </row>
    <row r="49">
      <c r="A49" s="7" t="inlineStr">
        <is>
          <t>— COGNICIÓN (tests) —</t>
        </is>
      </c>
    </row>
    <row r="50">
      <c r="A50" t="inlineStr">
        <is>
          <t>RT Simple promedio</t>
        </is>
      </c>
      <c r="B50" t="inlineStr">
        <is>
          <t>ms</t>
        </is>
      </c>
      <c r="C50" s="4" t="n">
        <v>290</v>
      </c>
      <c r="D50" s="4" t="n">
        <v>256</v>
      </c>
      <c r="E50" s="4" t="n">
        <v>280</v>
      </c>
      <c r="F50" s="4" t="n">
        <v>380</v>
      </c>
    </row>
    <row r="51">
      <c r="A51" t="inlineStr">
        <is>
          <t>RT Choice 4-AFC promedio</t>
        </is>
      </c>
      <c r="B51" t="inlineStr">
        <is>
          <t>ms</t>
        </is>
      </c>
      <c r="C51" s="4" t="n">
        <v>560</v>
      </c>
      <c r="D51" s="4" t="n">
        <v>390</v>
      </c>
      <c r="E51" s="4" t="n">
        <v>500</v>
      </c>
      <c r="F51" s="4" t="n">
        <v>720</v>
      </c>
    </row>
    <row r="52">
      <c r="A52" t="inlineStr">
        <is>
          <t>Go/No-Go RT hits</t>
        </is>
      </c>
      <c r="B52" t="inlineStr">
        <is>
          <t>ms</t>
        </is>
      </c>
      <c r="C52" s="4" t="n">
        <v>320</v>
      </c>
      <c r="D52" s="4" t="n">
        <v>280</v>
      </c>
      <c r="E52" s="4" t="n">
        <v>310</v>
      </c>
      <c r="F52" s="4" t="n">
        <v>420</v>
      </c>
    </row>
    <row r="53">
      <c r="A53" t="inlineStr">
        <is>
          <t>Go/No-Go tasa errores</t>
        </is>
      </c>
      <c r="B53" t="inlineStr">
        <is>
          <t>%</t>
        </is>
      </c>
      <c r="C53" s="4" t="n">
        <v>12</v>
      </c>
      <c r="D53" s="4" t="n">
        <v>5</v>
      </c>
      <c r="E53" s="4" t="n">
        <v>8</v>
      </c>
      <c r="F53" s="4" t="n">
        <v>25</v>
      </c>
    </row>
    <row r="54">
      <c r="A54" t="inlineStr">
        <is>
          <t>Claridad mental</t>
        </is>
      </c>
      <c r="B54" t="inlineStr">
        <is>
          <t>0-10</t>
        </is>
      </c>
      <c r="C54" s="4" t="n">
        <v>7</v>
      </c>
      <c r="D54" s="4" t="n">
        <v>9</v>
      </c>
      <c r="E54" s="4" t="n">
        <v>9</v>
      </c>
      <c r="F54" s="4" t="n">
        <v>5</v>
      </c>
    </row>
    <row r="55">
      <c r="A55" t="inlineStr">
        <is>
          <t>Energía mental</t>
        </is>
      </c>
      <c r="B55" t="inlineStr">
        <is>
          <t>0-10</t>
        </is>
      </c>
      <c r="C55" s="4" t="n">
        <v>7</v>
      </c>
      <c r="D55" s="4" t="n">
        <v>9</v>
      </c>
      <c r="E55" s="4" t="n">
        <v>9</v>
      </c>
      <c r="F55" s="4" t="n">
        <v>5</v>
      </c>
    </row>
    <row r="56">
      <c r="A56" t="inlineStr">
        <is>
          <t>Memoria autopercibida</t>
        </is>
      </c>
      <c r="B56" t="inlineStr">
        <is>
          <t>0-10</t>
        </is>
      </c>
      <c r="C56" s="4" t="n">
        <v>7</v>
      </c>
      <c r="D56" s="4" t="n">
        <v>9</v>
      </c>
      <c r="E56" s="4" t="n">
        <v>9</v>
      </c>
      <c r="F56" s="4" t="n">
        <v>6</v>
      </c>
    </row>
    <row r="58">
      <c r="A58" s="7" t="inlineStr">
        <is>
          <t>— RIESGOS Cardio-Metabólico —</t>
        </is>
      </c>
    </row>
    <row r="59">
      <c r="A59" t="inlineStr">
        <is>
          <t>ApoB</t>
        </is>
      </c>
      <c r="B59" t="inlineStr">
        <is>
          <t>mg/dL</t>
        </is>
      </c>
      <c r="C59" s="4" t="n">
        <v>105</v>
      </c>
      <c r="D59" s="4" t="n">
        <v>110</v>
      </c>
      <c r="E59" s="4" t="n">
        <v>75</v>
      </c>
      <c r="F59" s="4" t="n">
        <v>130</v>
      </c>
    </row>
    <row r="60">
      <c r="A60" t="inlineStr">
        <is>
          <t>LDL</t>
        </is>
      </c>
      <c r="B60" t="inlineStr">
        <is>
          <t>mg/dL</t>
        </is>
      </c>
      <c r="C60" s="4" t="n">
        <v>149</v>
      </c>
      <c r="D60" s="4" t="n">
        <v>165</v>
      </c>
      <c r="E60" s="4" t="n">
        <v>95</v>
      </c>
      <c r="F60" s="4" t="n">
        <v>155</v>
      </c>
    </row>
    <row r="61">
      <c r="A61" t="inlineStr">
        <is>
          <t>HDL</t>
        </is>
      </c>
      <c r="B61" t="inlineStr">
        <is>
          <t>mg/dL</t>
        </is>
      </c>
      <c r="C61" s="4" t="n">
        <v>38</v>
      </c>
      <c r="D61" s="4" t="n">
        <v>63</v>
      </c>
      <c r="E61" s="4" t="n">
        <v>70</v>
      </c>
      <c r="F61" s="4" t="n">
        <v>45</v>
      </c>
    </row>
    <row r="62">
      <c r="A62" t="inlineStr">
        <is>
          <t>Colesterol Total</t>
        </is>
      </c>
      <c r="B62" t="inlineStr">
        <is>
          <t>mg/dL</t>
        </is>
      </c>
      <c r="C62" s="4" t="n">
        <v>189</v>
      </c>
      <c r="D62" s="4" t="n">
        <v>214</v>
      </c>
      <c r="E62" s="4" t="n">
        <v>175</v>
      </c>
      <c r="F62" s="4" t="n">
        <v>230</v>
      </c>
    </row>
    <row r="63">
      <c r="A63" t="inlineStr">
        <is>
          <t>Triglicéridos</t>
        </is>
      </c>
      <c r="B63" t="inlineStr">
        <is>
          <t>mg/dL</t>
        </is>
      </c>
      <c r="C63" s="4" t="n">
        <v>124</v>
      </c>
      <c r="D63" s="4" t="n">
        <v>65</v>
      </c>
      <c r="E63" s="4" t="n">
        <v>70</v>
      </c>
      <c r="F63" s="4" t="n">
        <v>165</v>
      </c>
    </row>
    <row r="64">
      <c r="A64" t="inlineStr">
        <is>
          <t>PA Sistólica</t>
        </is>
      </c>
      <c r="B64" t="inlineStr">
        <is>
          <t>mmHg</t>
        </is>
      </c>
      <c r="C64" s="4" t="n">
        <v>132</v>
      </c>
      <c r="D64" s="4" t="n">
        <v>115</v>
      </c>
      <c r="E64" s="4" t="n">
        <v>110</v>
      </c>
      <c r="F64" s="4" t="n">
        <v>145</v>
      </c>
    </row>
    <row r="65">
      <c r="A65" t="inlineStr">
        <is>
          <t>PA Diastólica</t>
        </is>
      </c>
      <c r="B65" t="inlineStr">
        <is>
          <t>mmHg</t>
        </is>
      </c>
      <c r="C65" s="4" t="n">
        <v>88</v>
      </c>
      <c r="D65" s="4" t="n">
        <v>70</v>
      </c>
      <c r="E65" s="4" t="n">
        <v>70</v>
      </c>
      <c r="F65" s="4" t="n">
        <v>92</v>
      </c>
    </row>
    <row r="66">
      <c r="A66" t="inlineStr">
        <is>
          <t>HbA1c</t>
        </is>
      </c>
      <c r="B66" t="inlineStr">
        <is>
          <t>%</t>
        </is>
      </c>
      <c r="C66" s="4" t="n">
        <v>5.5</v>
      </c>
      <c r="D66" s="4" t="n">
        <v>5.5</v>
      </c>
      <c r="E66" s="4" t="n">
        <v>5</v>
      </c>
      <c r="F66" s="4" t="n">
        <v>6.4</v>
      </c>
    </row>
    <row r="67">
      <c r="A67" t="inlineStr">
        <is>
          <t>Insulina ayuno</t>
        </is>
      </c>
      <c r="B67" t="inlineStr">
        <is>
          <t>μUI/mL</t>
        </is>
      </c>
      <c r="C67" s="4" t="n">
        <v>7.8</v>
      </c>
      <c r="D67" s="4" t="n">
        <v>2.2</v>
      </c>
      <c r="E67" s="4" t="n">
        <v>4.5</v>
      </c>
      <c r="F67" s="4" t="n">
        <v>12</v>
      </c>
    </row>
    <row r="68">
      <c r="A68" t="inlineStr">
        <is>
          <t>HOMA-IR</t>
        </is>
      </c>
      <c r="B68" t="inlineStr">
        <is>
          <t>índice</t>
        </is>
      </c>
      <c r="C68" s="4" t="n">
        <v>1.73</v>
      </c>
      <c r="D68" s="4" t="n">
        <v>0.41</v>
      </c>
      <c r="E68" s="4" t="n">
        <v>0.91</v>
      </c>
      <c r="F68" s="4" t="n">
        <v>3.11</v>
      </c>
    </row>
    <row r="70">
      <c r="A70" s="7" t="inlineStr">
        <is>
          <t>— RIESGOS extra (inflam, horm, hepatorenal) —</t>
        </is>
      </c>
    </row>
    <row r="71">
      <c r="A71" t="inlineStr">
        <is>
          <t>NLR (Neutróf/Linfo)</t>
        </is>
      </c>
      <c r="B71" t="inlineStr">
        <is>
          <t>ratio</t>
        </is>
      </c>
      <c r="C71" s="4" t="n">
        <v>1.8</v>
      </c>
      <c r="D71" s="4" t="n">
        <v>1.16</v>
      </c>
      <c r="E71" s="4" t="n">
        <v>1.4</v>
      </c>
      <c r="F71" s="4" t="n">
        <v>2.2</v>
      </c>
    </row>
    <row r="72">
      <c r="A72" t="inlineStr">
        <is>
          <t>Factor reumatoide</t>
        </is>
      </c>
      <c r="B72" t="inlineStr">
        <is>
          <t>UI/mL</t>
        </is>
      </c>
      <c r="C72" s="4" t="n">
        <v>20</v>
      </c>
      <c r="D72" s="4" t="n">
        <v>20</v>
      </c>
      <c r="E72" s="4" t="n">
        <v>10</v>
      </c>
      <c r="F72" s="4" t="n">
        <v>25</v>
      </c>
    </row>
    <row r="73">
      <c r="A73" t="inlineStr">
        <is>
          <t>IgE</t>
        </is>
      </c>
      <c r="B73" t="inlineStr">
        <is>
          <t>UI/mL</t>
        </is>
      </c>
      <c r="C73" s="4" t="n">
        <v>67</v>
      </c>
      <c r="D73" s="4" t="n">
        <v>141</v>
      </c>
      <c r="E73" s="4" t="n">
        <v>50</v>
      </c>
      <c r="F73" s="4" t="n">
        <v>90</v>
      </c>
    </row>
    <row r="74">
      <c r="A74" t="inlineStr">
        <is>
          <t>Testo total (H) / Estradiol (M)</t>
        </is>
      </c>
      <c r="B74" t="inlineStr">
        <is>
          <t>ng/mL o pg/mL</t>
        </is>
      </c>
      <c r="C74" s="4" t="n">
        <v>3.32</v>
      </c>
      <c r="D74" s="4" t="n">
        <v>9.93</v>
      </c>
      <c r="E74" s="4" t="n">
        <v>60</v>
      </c>
      <c r="F74" s="4" t="n">
        <v>28</v>
      </c>
    </row>
    <row r="75">
      <c r="A75" t="inlineStr">
        <is>
          <t>AST</t>
        </is>
      </c>
      <c r="B75" t="inlineStr">
        <is>
          <t>U/L</t>
        </is>
      </c>
      <c r="C75" s="4" t="n">
        <v>24</v>
      </c>
      <c r="D75" s="4" t="n">
        <v>40</v>
      </c>
      <c r="E75" s="4" t="n">
        <v>22</v>
      </c>
      <c r="F75" s="4" t="n">
        <v>32</v>
      </c>
    </row>
    <row r="76">
      <c r="A76" t="inlineStr">
        <is>
          <t>ALT</t>
        </is>
      </c>
      <c r="B76" t="inlineStr">
        <is>
          <t>U/L</t>
        </is>
      </c>
      <c r="C76" s="4" t="n">
        <v>48</v>
      </c>
      <c r="D76" s="4" t="n">
        <v>39</v>
      </c>
      <c r="E76" s="4" t="n">
        <v>18</v>
      </c>
      <c r="F76" s="4" t="n">
        <v>30</v>
      </c>
    </row>
    <row r="77">
      <c r="A77" t="inlineStr">
        <is>
          <t>GGT</t>
        </is>
      </c>
      <c r="B77" t="inlineStr">
        <is>
          <t>U/L</t>
        </is>
      </c>
      <c r="C77" s="4" t="n">
        <v>51</v>
      </c>
      <c r="D77" s="4" t="n">
        <v>21</v>
      </c>
      <c r="E77" s="4" t="n">
        <v>18</v>
      </c>
      <c r="F77" s="4" t="n">
        <v>45</v>
      </c>
    </row>
    <row r="78">
      <c r="A78" t="inlineStr">
        <is>
          <t>BUN</t>
        </is>
      </c>
      <c r="B78" t="inlineStr">
        <is>
          <t>mg/dL</t>
        </is>
      </c>
      <c r="C78" s="4" t="n">
        <v>14.7</v>
      </c>
      <c r="D78" s="4" t="n">
        <v>27.5</v>
      </c>
      <c r="E78" s="4" t="n">
        <v>12</v>
      </c>
      <c r="F78" s="4" t="n">
        <v>20</v>
      </c>
    </row>
    <row r="79">
      <c r="A79" t="inlineStr">
        <is>
          <t>Hemoglobina</t>
        </is>
      </c>
      <c r="B79" t="inlineStr">
        <is>
          <t>g/dL</t>
        </is>
      </c>
      <c r="C79" s="4" t="n">
        <v>15.2</v>
      </c>
      <c r="D79" s="4" t="n">
        <v>15.2</v>
      </c>
      <c r="E79" s="4" t="n">
        <v>13.5</v>
      </c>
      <c r="F79" s="4" t="n">
        <v>13</v>
      </c>
    </row>
    <row r="80">
      <c r="A80" t="inlineStr">
        <is>
          <t>Hematocrito</t>
        </is>
      </c>
      <c r="B80" t="inlineStr">
        <is>
          <t>%</t>
        </is>
      </c>
      <c r="C80" s="4" t="n">
        <v>47.3</v>
      </c>
      <c r="D80" s="4" t="n">
        <v>47.6</v>
      </c>
      <c r="E80" s="4" t="n">
        <v>41</v>
      </c>
      <c r="F80" s="4" t="n">
        <v>39</v>
      </c>
    </row>
    <row r="82">
      <c r="A82" s="7" t="inlineStr">
        <is>
          <t>— HÁBITOS (modulador transversal) —</t>
        </is>
      </c>
    </row>
    <row r="83">
      <c r="A83" t="inlineStr">
        <is>
          <t>Ayuno IF</t>
        </is>
      </c>
      <c r="B83" t="inlineStr">
        <is>
          <t>h/día</t>
        </is>
      </c>
      <c r="C83" s="4" t="n">
        <v>0</v>
      </c>
      <c r="D83" s="4" t="n">
        <v>16</v>
      </c>
      <c r="E83" s="4" t="n">
        <v>14</v>
      </c>
      <c r="F83" s="4" t="n">
        <v>12</v>
      </c>
    </row>
    <row r="84">
      <c r="A84" t="inlineStr">
        <is>
          <t>Ejercicio</t>
        </is>
      </c>
      <c r="B84" t="inlineStr">
        <is>
          <t>h/semana</t>
        </is>
      </c>
      <c r="C84" s="4" t="n">
        <v>0</v>
      </c>
      <c r="D84" s="4" t="n">
        <v>18</v>
      </c>
      <c r="E84" s="4" t="n">
        <v>12</v>
      </c>
      <c r="F84" s="4" t="n">
        <v>1</v>
      </c>
    </row>
    <row r="85">
      <c r="A85" t="inlineStr">
        <is>
          <t>Pasos</t>
        </is>
      </c>
      <c r="B85" t="inlineStr">
        <is>
          <t>#/día</t>
        </is>
      </c>
      <c r="C85" s="4" t="n">
        <v>5000</v>
      </c>
      <c r="D85" s="4" t="n">
        <v>12000</v>
      </c>
      <c r="E85" s="4" t="n">
        <v>9000</v>
      </c>
      <c r="F85" s="4" t="n">
        <v>3500</v>
      </c>
    </row>
    <row r="86">
      <c r="A86" t="inlineStr">
        <is>
          <t>Tabaquismo</t>
        </is>
      </c>
      <c r="B86" t="inlineStr">
        <is>
          <t>cig/día</t>
        </is>
      </c>
      <c r="C86" s="4" t="n">
        <v>0</v>
      </c>
      <c r="D86" s="4" t="n">
        <v>0</v>
      </c>
      <c r="E86" s="4" t="n">
        <v>0</v>
      </c>
      <c r="F86" s="4" t="n">
        <v>0</v>
      </c>
    </row>
    <row r="87">
      <c r="A87" t="inlineStr">
        <is>
          <t>Alcohol</t>
        </is>
      </c>
      <c r="B87" t="inlineStr">
        <is>
          <t>copas/mes</t>
        </is>
      </c>
      <c r="C87" s="4" t="n">
        <v>0</v>
      </c>
      <c r="D87" s="4" t="n">
        <v>0</v>
      </c>
      <c r="E87" s="4" t="n">
        <v>4</v>
      </c>
      <c r="F87" s="4" t="n">
        <v>8</v>
      </c>
    </row>
    <row r="88">
      <c r="A88" t="inlineStr">
        <is>
          <t>Sueño</t>
        </is>
      </c>
      <c r="B88" t="inlineStr">
        <is>
          <t>h/noche</t>
        </is>
      </c>
      <c r="C88" s="4" t="n">
        <v>6</v>
      </c>
      <c r="D88" s="4" t="n">
        <v>7.5</v>
      </c>
      <c r="E88" s="4" t="n">
        <v>8</v>
      </c>
      <c r="F88" s="4" t="n">
        <v>6.5</v>
      </c>
    </row>
    <row r="89">
      <c r="A89" t="inlineStr">
        <is>
          <t>Consistencia sueño</t>
        </is>
      </c>
      <c r="B89" t="inlineStr">
        <is>
          <t>min var</t>
        </is>
      </c>
      <c r="C89" s="4" t="n">
        <v>90</v>
      </c>
      <c r="D89" s="4" t="n">
        <v>30</v>
      </c>
      <c r="E89" s="4" t="n">
        <v>30</v>
      </c>
      <c r="F89" s="4" t="n">
        <v>75</v>
      </c>
    </row>
    <row r="90">
      <c r="A90" t="inlineStr">
        <is>
          <t>Score Hábitos global</t>
        </is>
      </c>
      <c r="B90" t="inlineStr">
        <is>
          <t>0-100</t>
        </is>
      </c>
      <c r="C90" s="4" t="n">
        <v>40</v>
      </c>
      <c r="D90" s="4" t="n">
        <v>95</v>
      </c>
      <c r="E90" s="4" t="n">
        <v>88</v>
      </c>
      <c r="F90" s="4" t="n">
        <v>50</v>
      </c>
      <c r="G90" t="inlineStr">
        <is>
          <t>Calculado en hoja 7</t>
        </is>
      </c>
    </row>
  </sheetData>
  <mergeCells count="10">
    <mergeCell ref="A58:G58"/>
    <mergeCell ref="A1:G1"/>
    <mergeCell ref="A70:G70"/>
    <mergeCell ref="A8:G8"/>
    <mergeCell ref="A4:G4"/>
    <mergeCell ref="A38:G38"/>
    <mergeCell ref="A82:G82"/>
    <mergeCell ref="A19:G19"/>
    <mergeCell ref="A49:G4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ÁREA 1 — LABS CLÍNICOS (PhenoAge Levine 2018 + Modificadores funcionales)</t>
        </is>
      </c>
    </row>
    <row r="3">
      <c r="A3" s="3" t="inlineStr">
        <is>
          <t>Coeficientes PhenoAge (Levine 2018, Aging Cell)</t>
        </is>
      </c>
    </row>
    <row r="4">
      <c r="A4" s="8" t="inlineStr">
        <is>
          <t>Variable</t>
        </is>
      </c>
      <c r="B4" s="8" t="inlineStr">
        <is>
          <t>Unidad modelo</t>
        </is>
      </c>
      <c r="C4" s="8" t="inlineStr">
        <is>
          <t>Coef K</t>
        </is>
      </c>
      <c r="D4" s="8" t="inlineStr">
        <is>
          <t>Conversión</t>
        </is>
      </c>
      <c r="E4" s="8" t="inlineStr">
        <is>
          <t>Referencia</t>
        </is>
      </c>
      <c r="F4" s="8" t="inlineStr"/>
    </row>
    <row r="5">
      <c r="A5" t="inlineStr">
        <is>
          <t>Intercept</t>
        </is>
      </c>
      <c r="B5" t="inlineStr">
        <is>
          <t>-</t>
        </is>
      </c>
      <c r="C5" t="n">
        <v>-19.9067</v>
      </c>
      <c r="D5" t="inlineStr">
        <is>
          <t>-</t>
        </is>
      </c>
      <c r="E5" t="inlineStr">
        <is>
          <t>Levine 2018</t>
        </is>
      </c>
    </row>
    <row r="6">
      <c r="A6" t="inlineStr">
        <is>
          <t>Albumin</t>
        </is>
      </c>
      <c r="B6" t="inlineStr">
        <is>
          <t>g/L</t>
        </is>
      </c>
      <c r="C6" t="n">
        <v>-0.0336</v>
      </c>
      <c r="D6" t="inlineStr">
        <is>
          <t>× 10 (de g/dL)</t>
        </is>
      </c>
      <c r="E6" t="inlineStr">
        <is>
          <t>Mort risk ↓</t>
        </is>
      </c>
    </row>
    <row r="7">
      <c r="A7" t="inlineStr">
        <is>
          <t>Creatinine</t>
        </is>
      </c>
      <c r="B7" t="inlineStr">
        <is>
          <t>μmol/L</t>
        </is>
      </c>
      <c r="C7" t="n">
        <v>0.0095</v>
      </c>
      <c r="D7" t="inlineStr">
        <is>
          <t>× 88.4 (de mg/dL)</t>
        </is>
      </c>
      <c r="E7" t="inlineStr">
        <is>
          <t>Renal</t>
        </is>
      </c>
    </row>
    <row r="8">
      <c r="A8" t="inlineStr">
        <is>
          <t>Glucose</t>
        </is>
      </c>
      <c r="B8" t="inlineStr">
        <is>
          <t>mmol/L</t>
        </is>
      </c>
      <c r="C8" t="n">
        <v>0.1953</v>
      </c>
      <c r="D8" t="inlineStr">
        <is>
          <t>× 0.0555 (de mg/dL)</t>
        </is>
      </c>
      <c r="E8" t="inlineStr">
        <is>
          <t>Metabólico</t>
        </is>
      </c>
    </row>
    <row r="9">
      <c r="A9" t="inlineStr">
        <is>
          <t>ln(CRP × 10)</t>
        </is>
      </c>
      <c r="B9" t="inlineStr">
        <is>
          <t>mg/dL→ln</t>
        </is>
      </c>
      <c r="C9" t="n">
        <v>0.0954</v>
      </c>
      <c r="D9" t="inlineStr">
        <is>
          <t>LN(CRP×10)</t>
        </is>
      </c>
      <c r="E9" t="inlineStr">
        <is>
          <t>Inflamación</t>
        </is>
      </c>
    </row>
    <row r="10">
      <c r="A10" t="inlineStr">
        <is>
          <t>Lymphocyte %</t>
        </is>
      </c>
      <c r="B10" t="inlineStr">
        <is>
          <t>%</t>
        </is>
      </c>
      <c r="C10" t="n">
        <v>-0.012</v>
      </c>
      <c r="D10" t="inlineStr">
        <is>
          <t>directo</t>
        </is>
      </c>
      <c r="E10" t="inlineStr">
        <is>
          <t>Inmune</t>
        </is>
      </c>
    </row>
    <row r="11">
      <c r="A11" t="inlineStr">
        <is>
          <t>MCV</t>
        </is>
      </c>
      <c r="B11" t="inlineStr">
        <is>
          <t>fL</t>
        </is>
      </c>
      <c r="C11" t="n">
        <v>0.0268</v>
      </c>
      <c r="D11" t="inlineStr">
        <is>
          <t>directo</t>
        </is>
      </c>
      <c r="E11" t="inlineStr">
        <is>
          <t>Hemato</t>
        </is>
      </c>
    </row>
    <row r="12">
      <c r="A12" t="inlineStr">
        <is>
          <t>RDW</t>
        </is>
      </c>
      <c r="B12" t="inlineStr">
        <is>
          <t>%</t>
        </is>
      </c>
      <c r="C12" t="n">
        <v>0.3306</v>
      </c>
      <c r="D12" t="inlineStr">
        <is>
          <t>directo (no ×100)</t>
        </is>
      </c>
      <c r="E12" t="inlineStr">
        <is>
          <t>Estrés eritrocitario</t>
        </is>
      </c>
    </row>
    <row r="13">
      <c r="A13" t="inlineStr">
        <is>
          <t>ALP</t>
        </is>
      </c>
      <c r="B13" t="inlineStr">
        <is>
          <t>U/L</t>
        </is>
      </c>
      <c r="C13" t="n">
        <v>0.00188</v>
      </c>
      <c r="D13" t="inlineStr">
        <is>
          <t>directo</t>
        </is>
      </c>
      <c r="E13" t="inlineStr">
        <is>
          <t>Hepato-óseo</t>
        </is>
      </c>
    </row>
    <row r="14">
      <c r="A14" t="inlineStr">
        <is>
          <t>WBC</t>
        </is>
      </c>
      <c r="B14" t="inlineStr">
        <is>
          <t>×10³/μL</t>
        </is>
      </c>
      <c r="C14" t="n">
        <v>0.0554</v>
      </c>
      <c r="D14" t="inlineStr">
        <is>
          <t>÷ 1000 (de /μL)</t>
        </is>
      </c>
      <c r="E14" t="inlineStr">
        <is>
          <t>Inmune</t>
        </is>
      </c>
    </row>
    <row r="15">
      <c r="A15" t="inlineStr">
        <is>
          <t>Age cronológica</t>
        </is>
      </c>
      <c r="B15" t="inlineStr">
        <is>
          <t>años</t>
        </is>
      </c>
      <c r="C15" t="n">
        <v>0.0804</v>
      </c>
      <c r="D15" t="inlineStr">
        <is>
          <t>directo</t>
        </is>
      </c>
      <c r="E15" t="inlineStr">
        <is>
          <t>Reloj base</t>
        </is>
      </c>
    </row>
    <row r="17">
      <c r="A17" s="3" t="inlineStr">
        <is>
          <t>CÁLCULO PhenoAge por paciente</t>
        </is>
      </c>
    </row>
    <row r="18">
      <c r="A18" s="8" t="inlineStr">
        <is>
          <t>Paso</t>
        </is>
      </c>
      <c r="B18" s="8" t="inlineStr">
        <is>
          <t>Fórmula</t>
        </is>
      </c>
      <c r="C18" s="8" t="inlineStr">
        <is>
          <t>H1</t>
        </is>
      </c>
      <c r="D18" s="8" t="inlineStr">
        <is>
          <t>H2 Enrique</t>
        </is>
      </c>
      <c r="E18" s="8" t="inlineStr">
        <is>
          <t>M1</t>
        </is>
      </c>
      <c r="F18" s="8" t="inlineStr">
        <is>
          <t>M2</t>
        </is>
      </c>
    </row>
    <row r="19">
      <c r="A19" t="inlineStr">
        <is>
          <t>VPA Albumin</t>
        </is>
      </c>
      <c r="B19" t="inlineStr">
        <is>
          <t>input row 9 × C6</t>
        </is>
      </c>
      <c r="C19">
        <f>('1_Inputs'!C9*10)*C6</f>
        <v/>
      </c>
      <c r="D19">
        <f>('1_Inputs'!D9*10)*C6</f>
        <v/>
      </c>
      <c r="E19">
        <f>('1_Inputs'!E9*10)*C6</f>
        <v/>
      </c>
      <c r="F19">
        <f>('1_Inputs'!F9*10)*C6</f>
        <v/>
      </c>
    </row>
    <row r="20">
      <c r="A20" t="inlineStr">
        <is>
          <t>VPA Creatinine</t>
        </is>
      </c>
      <c r="B20" t="inlineStr">
        <is>
          <t>input row 10 × C7</t>
        </is>
      </c>
      <c r="C20">
        <f>('1_Inputs'!C10*88.4)*C7</f>
        <v/>
      </c>
      <c r="D20">
        <f>('1_Inputs'!D10*88.4)*C7</f>
        <v/>
      </c>
      <c r="E20">
        <f>('1_Inputs'!E10*88.4)*C7</f>
        <v/>
      </c>
      <c r="F20">
        <f>('1_Inputs'!F10*88.4)*C7</f>
        <v/>
      </c>
    </row>
    <row r="21">
      <c r="A21" t="inlineStr">
        <is>
          <t>VPA Glucose</t>
        </is>
      </c>
      <c r="B21" t="inlineStr">
        <is>
          <t>input row 11 × C8</t>
        </is>
      </c>
      <c r="C21">
        <f>('1_Inputs'!C11*0.0555)*C8</f>
        <v/>
      </c>
      <c r="D21">
        <f>('1_Inputs'!D11*0.0555)*C8</f>
        <v/>
      </c>
      <c r="E21">
        <f>('1_Inputs'!E11*0.0555)*C8</f>
        <v/>
      </c>
      <c r="F21">
        <f>('1_Inputs'!F11*0.0555)*C8</f>
        <v/>
      </c>
    </row>
    <row r="22">
      <c r="A22" t="inlineStr">
        <is>
          <t>VPA ln(CRP)</t>
        </is>
      </c>
      <c r="B22" t="inlineStr">
        <is>
          <t>input row 12 × C9</t>
        </is>
      </c>
      <c r="C22">
        <f>LN(MAX('1_Inputs'!C12*10,0.0001))*C9</f>
        <v/>
      </c>
      <c r="D22">
        <f>LN(MAX('1_Inputs'!D12*10,0.0001))*C9</f>
        <v/>
      </c>
      <c r="E22">
        <f>LN(MAX('1_Inputs'!E12*10,0.0001))*C9</f>
        <v/>
      </c>
      <c r="F22">
        <f>LN(MAX('1_Inputs'!F12*10,0.0001))*C9</f>
        <v/>
      </c>
    </row>
    <row r="23">
      <c r="A23" t="inlineStr">
        <is>
          <t>VPA Lymphocyte%</t>
        </is>
      </c>
      <c r="B23" t="inlineStr">
        <is>
          <t>input row 13 × C10</t>
        </is>
      </c>
      <c r="C23">
        <f>'1_Inputs'!C13*C10</f>
        <v/>
      </c>
      <c r="D23">
        <f>'1_Inputs'!D13*C10</f>
        <v/>
      </c>
      <c r="E23">
        <f>'1_Inputs'!E13*C10</f>
        <v/>
      </c>
      <c r="F23">
        <f>'1_Inputs'!F13*C10</f>
        <v/>
      </c>
    </row>
    <row r="24">
      <c r="A24" t="inlineStr">
        <is>
          <t>VPA MCV</t>
        </is>
      </c>
      <c r="B24" t="inlineStr">
        <is>
          <t>input row 14 × C11</t>
        </is>
      </c>
      <c r="C24">
        <f>'1_Inputs'!C14*C11</f>
        <v/>
      </c>
      <c r="D24">
        <f>'1_Inputs'!D14*C11</f>
        <v/>
      </c>
      <c r="E24">
        <f>'1_Inputs'!E14*C11</f>
        <v/>
      </c>
      <c r="F24">
        <f>'1_Inputs'!F14*C11</f>
        <v/>
      </c>
    </row>
    <row r="25">
      <c r="A25" t="inlineStr">
        <is>
          <t>VPA RDW</t>
        </is>
      </c>
      <c r="B25" t="inlineStr">
        <is>
          <t>input row 15 × C12</t>
        </is>
      </c>
      <c r="C25">
        <f>'1_Inputs'!C15*C12</f>
        <v/>
      </c>
      <c r="D25">
        <f>'1_Inputs'!D15*C12</f>
        <v/>
      </c>
      <c r="E25">
        <f>'1_Inputs'!E15*C12</f>
        <v/>
      </c>
      <c r="F25">
        <f>'1_Inputs'!F15*C12</f>
        <v/>
      </c>
    </row>
    <row r="26">
      <c r="A26" t="inlineStr">
        <is>
          <t>VPA ALP</t>
        </is>
      </c>
      <c r="B26" t="inlineStr">
        <is>
          <t>input row 16 × C13</t>
        </is>
      </c>
      <c r="C26">
        <f>'1_Inputs'!C16*C13</f>
        <v/>
      </c>
      <c r="D26">
        <f>'1_Inputs'!D16*C13</f>
        <v/>
      </c>
      <c r="E26">
        <f>'1_Inputs'!E16*C13</f>
        <v/>
      </c>
      <c r="F26">
        <f>'1_Inputs'!F16*C13</f>
        <v/>
      </c>
    </row>
    <row r="27">
      <c r="A27" t="inlineStr">
        <is>
          <t>VPA WBC</t>
        </is>
      </c>
      <c r="B27" t="inlineStr">
        <is>
          <t>input row 17 × C14</t>
        </is>
      </c>
      <c r="C27">
        <f>'1_Inputs'!C17*C14</f>
        <v/>
      </c>
      <c r="D27">
        <f>'1_Inputs'!D17*C14</f>
        <v/>
      </c>
      <c r="E27">
        <f>'1_Inputs'!E17*C14</f>
        <v/>
      </c>
      <c r="F27">
        <f>'1_Inputs'!F17*C14</f>
        <v/>
      </c>
    </row>
    <row r="28">
      <c r="A28" t="inlineStr">
        <is>
          <t>VPA Age</t>
        </is>
      </c>
      <c r="B28" t="inlineStr">
        <is>
          <t>input row 5 × C15</t>
        </is>
      </c>
      <c r="C28">
        <f>'1_Inputs'!C5*C15</f>
        <v/>
      </c>
      <c r="D28">
        <f>'1_Inputs'!D5*C15</f>
        <v/>
      </c>
      <c r="E28">
        <f>'1_Inputs'!E5*C15</f>
        <v/>
      </c>
      <c r="F28">
        <f>'1_Inputs'!F5*C15</f>
        <v/>
      </c>
    </row>
    <row r="29">
      <c r="A29" s="2" t="inlineStr">
        <is>
          <t>xb (linear predictor)</t>
        </is>
      </c>
      <c r="B29" t="inlineStr">
        <is>
          <t>Intercept + Σ VPA</t>
        </is>
      </c>
      <c r="C29" s="9">
        <f>-19.9067+SUM(C19:C28)</f>
        <v/>
      </c>
      <c r="D29" s="9">
        <f>-19.9067+SUM(D19:D28)</f>
        <v/>
      </c>
      <c r="E29" s="9">
        <f>-19.9067+SUM(E19:E28)</f>
        <v/>
      </c>
      <c r="F29" s="9">
        <f>-19.9067+SUM(F19:F28)</f>
        <v/>
      </c>
    </row>
    <row r="30">
      <c r="A30" s="2" t="inlineStr">
        <is>
          <t>Mort_Score</t>
        </is>
      </c>
      <c r="B30">
        <f> 1-EXP(-EXP(xb) × ((EXP(0.0076927×120)-1)/0.0076927))</f>
        <v/>
      </c>
      <c r="C30" s="9">
        <f>1-EXP(-EXP(C29)*((EXP(0.0076927*120)-1)/0.0076927))</f>
        <v/>
      </c>
      <c r="D30" s="9">
        <f>1-EXP(-EXP(D29)*((EXP(0.0076927*120)-1)/0.0076927))</f>
        <v/>
      </c>
      <c r="E30" s="9">
        <f>1-EXP(-EXP(E29)*((EXP(0.0076927*120)-1)/0.0076927))</f>
        <v/>
      </c>
      <c r="F30" s="9">
        <f>1-EXP(-EXP(F29)*((EXP(0.0076927*120)-1)/0.0076927))</f>
        <v/>
      </c>
    </row>
    <row r="31">
      <c r="A31" s="2" t="inlineStr">
        <is>
          <t>PhenoAge (Levine 2018)</t>
        </is>
      </c>
      <c r="B31">
        <f> 141.50225 + ln(-0.00553×ln(1-MortScore))/0.090165</f>
        <v/>
      </c>
      <c r="C31" s="4">
        <f>141.50225+LN(-0.00553*LN(1-C30))/0.090165</f>
        <v/>
      </c>
      <c r="D31" s="4">
        <f>141.50225+LN(-0.00553*LN(1-D30))/0.090165</f>
        <v/>
      </c>
      <c r="E31" s="4">
        <f>141.50225+LN(-0.00553*LN(1-E30))/0.090165</f>
        <v/>
      </c>
      <c r="F31" s="4">
        <f>141.50225+LN(-0.00553*LN(1-F30))/0.090165</f>
        <v/>
      </c>
    </row>
    <row r="33">
      <c r="A33" s="3" t="inlineStr">
        <is>
          <t>MODIFICADORES FUNCIONALES (delta a PhenoAge)</t>
        </is>
      </c>
    </row>
    <row r="34">
      <c r="A34" s="8" t="inlineStr">
        <is>
          <t>Variable</t>
        </is>
      </c>
      <c r="B34" s="8" t="inlineStr">
        <is>
          <t>Regla</t>
        </is>
      </c>
      <c r="C34" s="8" t="inlineStr">
        <is>
          <t>H1</t>
        </is>
      </c>
      <c r="D34" s="8" t="inlineStr">
        <is>
          <t>H2</t>
        </is>
      </c>
      <c r="E34" s="8" t="inlineStr">
        <is>
          <t>M1</t>
        </is>
      </c>
      <c r="F34" s="8" t="inlineStr">
        <is>
          <t>M2</t>
        </is>
      </c>
    </row>
    <row r="35">
      <c r="A35" t="inlineStr">
        <is>
          <t>Vit D modif</t>
        </is>
      </c>
      <c r="B35" t="inlineStr">
        <is>
          <t>&lt;30→+1, 30-50→0, 50-70→-1, &gt;70→+0.5</t>
        </is>
      </c>
      <c r="C35">
        <f>IF('1_Inputs'!C20&lt;30,1,IF('1_Inputs'!C20&gt;70,0.5,IF('1_Inputs'!C20&lt;50,0,-1)))</f>
        <v/>
      </c>
      <c r="D35">
        <f>IF('1_Inputs'!D20&lt;30,1,IF('1_Inputs'!D20&gt;70,0.5,IF('1_Inputs'!D20&lt;50,0,-1)))</f>
        <v/>
      </c>
      <c r="E35">
        <f>IF('1_Inputs'!E20&lt;30,1,IF('1_Inputs'!E20&gt;70,0.5,IF('1_Inputs'!E20&lt;50,0,-1)))</f>
        <v/>
      </c>
      <c r="F35">
        <f>IF('1_Inputs'!F20&lt;30,1,IF('1_Inputs'!F20&gt;70,0.5,IF('1_Inputs'!F20&lt;50,0,-1)))</f>
        <v/>
      </c>
    </row>
    <row r="36">
      <c r="A36" t="inlineStr">
        <is>
          <t>Vit B12 modif</t>
        </is>
      </c>
      <c r="B36" t="inlineStr">
        <is>
          <t>&lt;200→+2, 200-400→+0.5, 400-700→-0.5, &gt;700→0</t>
        </is>
      </c>
      <c r="C36">
        <f>IF('1_Inputs'!C21&lt;200,2,IF('1_Inputs'!C21&lt;400,0.5,IF('1_Inputs'!C21&lt;700,-0.5,0)))</f>
        <v/>
      </c>
      <c r="D36">
        <f>IF('1_Inputs'!D21&lt;200,2,IF('1_Inputs'!D21&lt;400,0.5,IF('1_Inputs'!D21&lt;700,-0.5,0)))</f>
        <v/>
      </c>
      <c r="E36">
        <f>IF('1_Inputs'!E21&lt;200,2,IF('1_Inputs'!E21&lt;400,0.5,IF('1_Inputs'!E21&lt;700,-0.5,0)))</f>
        <v/>
      </c>
      <c r="F36">
        <f>IF('1_Inputs'!F21&lt;200,2,IF('1_Inputs'!F21&lt;400,0.5,IF('1_Inputs'!F21&lt;700,-0.5,0)))</f>
        <v/>
      </c>
    </row>
    <row r="37">
      <c r="A37" t="inlineStr">
        <is>
          <t>Homocist modif</t>
        </is>
      </c>
      <c r="B37" t="inlineStr">
        <is>
          <t>&lt;8→-1, 8-12→0, 12-15→+1, &gt;15→+2</t>
        </is>
      </c>
      <c r="C37">
        <f>IF('1_Inputs'!C22&lt;8,-1,IF('1_Inputs'!C22&lt;12,0,IF('1_Inputs'!C22&lt;15,1,2)))</f>
        <v/>
      </c>
      <c r="D37">
        <f>IF('1_Inputs'!D22&lt;8,-1,IF('1_Inputs'!D22&lt;12,0,IF('1_Inputs'!D22&lt;15,1,2)))</f>
        <v/>
      </c>
      <c r="E37">
        <f>IF('1_Inputs'!E22&lt;8,-1,IF('1_Inputs'!E22&lt;12,0,IF('1_Inputs'!E22&lt;15,1,2)))</f>
        <v/>
      </c>
      <c r="F37">
        <f>IF('1_Inputs'!F22&lt;8,-1,IF('1_Inputs'!F22&lt;12,0,IF('1_Inputs'!F22&lt;15,1,2)))</f>
        <v/>
      </c>
    </row>
    <row r="38">
      <c r="A38" t="inlineStr">
        <is>
          <t>Ferritina modif</t>
        </is>
      </c>
      <c r="B38" t="inlineStr">
        <is>
          <t>en rango (30-300)→-0.5, fuera→+1</t>
        </is>
      </c>
      <c r="C38">
        <f>IF(AND('1_Inputs'!C23&gt;=30,'1_Inputs'!C23&lt;=300),-0.5,1)</f>
        <v/>
      </c>
      <c r="D38">
        <f>IF(AND('1_Inputs'!D23&gt;=30,'1_Inputs'!D23&lt;=300),-0.5,1)</f>
        <v/>
      </c>
      <c r="E38">
        <f>IF(AND('1_Inputs'!E23&gt;=30,'1_Inputs'!E23&lt;=300),-0.5,1)</f>
        <v/>
      </c>
      <c r="F38">
        <f>IF(AND('1_Inputs'!F23&gt;=30,'1_Inputs'!F23&lt;=300),-0.5,1)</f>
        <v/>
      </c>
    </row>
    <row r="39">
      <c r="A39" t="inlineStr">
        <is>
          <t>TSH modif</t>
        </is>
      </c>
      <c r="B39" t="inlineStr">
        <is>
          <t>óptimo 1-2.5→-0.5, 2.5-4→0, fuera→+1</t>
        </is>
      </c>
      <c r="C39">
        <f>IF(AND('1_Inputs'!C24&gt;=1,'1_Inputs'!C24&lt;=2.5),-0.5,IF(AND('1_Inputs'!C24&gt;2.5,'1_Inputs'!C24&lt;=4),0,1))</f>
        <v/>
      </c>
      <c r="D39">
        <f>IF(AND('1_Inputs'!D24&gt;=1,'1_Inputs'!D24&lt;=2.5),-0.5,IF(AND('1_Inputs'!D24&gt;2.5,'1_Inputs'!D24&lt;=4),0,1))</f>
        <v/>
      </c>
      <c r="E39">
        <f>IF(AND('1_Inputs'!E24&gt;=1,'1_Inputs'!E24&lt;=2.5),-0.5,IF(AND('1_Inputs'!E24&gt;2.5,'1_Inputs'!E24&lt;=4),0,1))</f>
        <v/>
      </c>
      <c r="F39">
        <f>IF(AND('1_Inputs'!F24&gt;=1,'1_Inputs'!F24&lt;=2.5),-0.5,IF(AND('1_Inputs'!F24&gt;2.5,'1_Inputs'!F24&lt;=4),0,1))</f>
        <v/>
      </c>
    </row>
    <row r="40">
      <c r="A40" t="inlineStr">
        <is>
          <t>Cortisol modif</t>
        </is>
      </c>
      <c r="B40" t="inlineStr">
        <is>
          <t>óptimo 8-15→0, &lt;8 ó &gt;15→+1</t>
        </is>
      </c>
      <c r="C40">
        <f>IF(AND('1_Inputs'!C25&gt;=8,'1_Inputs'!C25&lt;=15),0,1)</f>
        <v/>
      </c>
      <c r="D40">
        <f>IF(AND('1_Inputs'!D25&gt;=8,'1_Inputs'!D25&lt;=15),0,1)</f>
        <v/>
      </c>
      <c r="E40">
        <f>IF(AND('1_Inputs'!E25&gt;=8,'1_Inputs'!E25&lt;=15),0,1)</f>
        <v/>
      </c>
      <c r="F40">
        <f>IF(AND('1_Inputs'!F25&gt;=8,'1_Inputs'!F25&lt;=15),0,1)</f>
        <v/>
      </c>
    </row>
    <row r="41">
      <c r="A41" t="inlineStr">
        <is>
          <t>Bilirrubina modif</t>
        </is>
      </c>
      <c r="B41" t="inlineStr">
        <is>
          <t>en rango 0.3-1.2→-0.5 (antioxidante), fuera→+0.5</t>
        </is>
      </c>
      <c r="C41">
        <f>IF(AND('1_Inputs'!C26&gt;=0.3,'1_Inputs'!C26&lt;=1.2),-0.5,0.5)</f>
        <v/>
      </c>
      <c r="D41">
        <f>IF(AND('1_Inputs'!D26&gt;=0.3,'1_Inputs'!D26&lt;=1.2),-0.5,0.5)</f>
        <v/>
      </c>
      <c r="E41">
        <f>IF(AND('1_Inputs'!E26&gt;=0.3,'1_Inputs'!E26&lt;=1.2),-0.5,0.5)</f>
        <v/>
      </c>
      <c r="F41">
        <f>IF(AND('1_Inputs'!F26&gt;=0.3,'1_Inputs'!F26&lt;=1.2),-0.5,0.5)</f>
        <v/>
      </c>
    </row>
    <row r="42">
      <c r="A42" s="2" t="inlineStr">
        <is>
          <t>Suma modificadores</t>
        </is>
      </c>
      <c r="B42" t="inlineStr">
        <is>
          <t>Σ deltas (cap interno [-5, +10])</t>
        </is>
      </c>
      <c r="C42" s="9">
        <f>MAX(-5,MIN(10,SUM(C35:C41)))</f>
        <v/>
      </c>
      <c r="D42" s="9">
        <f>MAX(-5,MIN(10,SUM(D35:D41)))</f>
        <v/>
      </c>
      <c r="E42" s="9">
        <f>MAX(-5,MIN(10,SUM(E35:E41)))</f>
        <v/>
      </c>
      <c r="F42" s="9">
        <f>MAX(-5,MIN(10,SUM(F35:F41)))</f>
        <v/>
      </c>
    </row>
    <row r="44">
      <c r="A44" s="10" t="inlineStr">
        <is>
          <t>═══ EDAD LABS (parcial) ═══</t>
        </is>
      </c>
      <c r="B44" t="inlineStr">
        <is>
          <t>PhenoAge + suma modificadores</t>
        </is>
      </c>
      <c r="C44" s="11">
        <f>C31+C42</f>
        <v/>
      </c>
      <c r="D44" s="11">
        <f>D31+D42</f>
        <v/>
      </c>
      <c r="E44" s="11">
        <f>E31+E42</f>
        <v/>
      </c>
      <c r="F44" s="11">
        <f>F31+F42</f>
        <v/>
      </c>
    </row>
    <row r="46">
      <c r="A46" s="2" t="inlineStr">
        <is>
          <t>NOTA:</t>
        </is>
      </c>
      <c r="B46" t="inlineStr">
        <is>
          <t>Esta edad es ANTES del anclaje a cronológica (se aplica en hoja 8_Motor)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ÁREA 2 — COMPOSICIÓN CORPORAL</t>
        </is>
      </c>
    </row>
    <row r="3">
      <c r="A3" s="2" t="inlineStr">
        <is>
          <t>Bandas por sexo (literatura + matriz V8). Score 0-100 por param, luego promedio ponderado.</t>
        </is>
      </c>
    </row>
    <row r="5">
      <c r="A5" s="8" t="inlineStr">
        <is>
          <t>Param</t>
        </is>
      </c>
      <c r="B5" s="8" t="inlineStr">
        <is>
          <t>Peso</t>
        </is>
      </c>
      <c r="C5" s="8" t="inlineStr">
        <is>
          <t>H1 score</t>
        </is>
      </c>
      <c r="D5" s="8" t="inlineStr">
        <is>
          <t>H2 score</t>
        </is>
      </c>
      <c r="E5" s="8" t="inlineStr">
        <is>
          <t>M1 score</t>
        </is>
      </c>
      <c r="F5" s="8" t="inlineStr">
        <is>
          <t>M2 score</t>
        </is>
      </c>
    </row>
    <row r="6">
      <c r="A6" t="inlineStr">
        <is>
          <t>% Grasa corporal</t>
        </is>
      </c>
      <c r="B6" t="n">
        <v>0.2</v>
      </c>
      <c r="C6">
        <f>IF('1_Inputs'!C6=1,IF(AND('1_Inputs'!C31&gt;=10,'1_Inputs'!C31&lt;=14),100,IF(AND('1_Inputs'!C31&gt;=8,'1_Inputs'!C31&lt;10),90,IF(AND('1_Inputs'!C31&gt;14,'1_Inputs'!C31&lt;=18.5),80,IF(AND('1_Inputs'!C31&gt;18.5,'1_Inputs'!C31&lt;=24),50,IF('1_Inputs'!C31&gt;24,25,IF('1_Inputs'!C31&lt;8,80,0)))))),IF(AND('1_Inputs'!C31&gt;=18,'1_Inputs'!C31&lt;=23),100,IF(AND('1_Inputs'!C31&gt;=15,'1_Inputs'!C31&lt;18),90,IF(AND('1_Inputs'!C31&gt;23,'1_Inputs'!C31&lt;=28),80,IF(AND('1_Inputs'!C31&gt;28,'1_Inputs'!C31&lt;=33),50,IF('1_Inputs'!C31&gt;33,25,IF('1_Inputs'!C31&lt;15,80,0)))))))</f>
        <v/>
      </c>
      <c r="D6">
        <f>IF('1_Inputs'!D6=1,IF(AND('1_Inputs'!D31&gt;=10,'1_Inputs'!D31&lt;=14),100,IF(AND('1_Inputs'!D31&gt;=8,'1_Inputs'!D31&lt;10),90,IF(AND('1_Inputs'!D31&gt;14,'1_Inputs'!D31&lt;=18.5),80,IF(AND('1_Inputs'!D31&gt;18.5,'1_Inputs'!D31&lt;=24),50,IF('1_Inputs'!D31&gt;24,25,IF('1_Inputs'!D31&lt;8,80,0)))))),IF(AND('1_Inputs'!D31&gt;=18,'1_Inputs'!D31&lt;=23),100,IF(AND('1_Inputs'!D31&gt;=15,'1_Inputs'!D31&lt;18),90,IF(AND('1_Inputs'!D31&gt;23,'1_Inputs'!D31&lt;=28),80,IF(AND('1_Inputs'!D31&gt;28,'1_Inputs'!D31&lt;=33),50,IF('1_Inputs'!D31&gt;33,25,IF('1_Inputs'!D31&lt;15,80,0)))))))</f>
        <v/>
      </c>
      <c r="E6">
        <f>IF('1_Inputs'!E6=1,IF(AND('1_Inputs'!E31&gt;=10,'1_Inputs'!E31&lt;=14),100,IF(AND('1_Inputs'!E31&gt;=8,'1_Inputs'!E31&lt;10),90,IF(AND('1_Inputs'!E31&gt;14,'1_Inputs'!E31&lt;=18.5),80,IF(AND('1_Inputs'!E31&gt;18.5,'1_Inputs'!E31&lt;=24),50,IF('1_Inputs'!E31&gt;24,25,IF('1_Inputs'!E31&lt;8,80,0)))))),IF(AND('1_Inputs'!E31&gt;=18,'1_Inputs'!E31&lt;=23),100,IF(AND('1_Inputs'!E31&gt;=15,'1_Inputs'!E31&lt;18),90,IF(AND('1_Inputs'!E31&gt;23,'1_Inputs'!E31&lt;=28),80,IF(AND('1_Inputs'!E31&gt;28,'1_Inputs'!E31&lt;=33),50,IF('1_Inputs'!E31&gt;33,25,IF('1_Inputs'!E31&lt;15,80,0)))))))</f>
        <v/>
      </c>
      <c r="F6">
        <f>IF('1_Inputs'!F6=1,IF(AND('1_Inputs'!F31&gt;=10,'1_Inputs'!F31&lt;=14),100,IF(AND('1_Inputs'!F31&gt;=8,'1_Inputs'!F31&lt;10),90,IF(AND('1_Inputs'!F31&gt;14,'1_Inputs'!F31&lt;=18.5),80,IF(AND('1_Inputs'!F31&gt;18.5,'1_Inputs'!F31&lt;=24),50,IF('1_Inputs'!F31&gt;24,25,IF('1_Inputs'!F31&lt;8,80,0)))))),IF(AND('1_Inputs'!F31&gt;=18,'1_Inputs'!F31&lt;=23),100,IF(AND('1_Inputs'!F31&gt;=15,'1_Inputs'!F31&lt;18),90,IF(AND('1_Inputs'!F31&gt;23,'1_Inputs'!F31&lt;=28),80,IF(AND('1_Inputs'!F31&gt;28,'1_Inputs'!F31&lt;=33),50,IF('1_Inputs'!F31&gt;33,25,IF('1_Inputs'!F31&lt;15,80,0)))))))</f>
        <v/>
      </c>
    </row>
    <row r="7">
      <c r="A7" t="inlineStr">
        <is>
          <t>FFMI</t>
        </is>
      </c>
      <c r="B7" t="n">
        <v>0.2</v>
      </c>
      <c r="C7">
        <f>IF('1_Inputs'!C6=1,IF(('1_Inputs'!C29*(1-'1_Inputs'!C31/100)/(('1_Inputs'!C30/100)^2))&lt;17.5,25,IF(('1_Inputs'!C29*(1-'1_Inputs'!C31/100)/(('1_Inputs'!C30/100)^2))&lt;19,50,IF(('1_Inputs'!C29*(1-'1_Inputs'!C31/100)/(('1_Inputs'!C30/100)^2))&lt;22,80,IF(('1_Inputs'!C29*(1-'1_Inputs'!C31/100)/(('1_Inputs'!C30/100)^2))&lt;=25,100,80)))),IF(('1_Inputs'!C29*(1-'1_Inputs'!C31/100)/(('1_Inputs'!C30/100)^2))&lt;14,25,IF(('1_Inputs'!C29*(1-'1_Inputs'!C31/100)/(('1_Inputs'!C30/100)^2))&lt;15.5,50,IF(('1_Inputs'!C29*(1-'1_Inputs'!C31/100)/(('1_Inputs'!C30/100)^2))&lt;17,80,IF(('1_Inputs'!C29*(1-'1_Inputs'!C31/100)/(('1_Inputs'!C30/100)^2))&lt;=19,100,80)))))</f>
        <v/>
      </c>
      <c r="D7">
        <f>IF('1_Inputs'!D6=1,IF(('1_Inputs'!D29*(1-'1_Inputs'!D31/100)/(('1_Inputs'!D30/100)^2))&lt;17.5,25,IF(('1_Inputs'!D29*(1-'1_Inputs'!D31/100)/(('1_Inputs'!D30/100)^2))&lt;19,50,IF(('1_Inputs'!D29*(1-'1_Inputs'!D31/100)/(('1_Inputs'!D30/100)^2))&lt;22,80,IF(('1_Inputs'!D29*(1-'1_Inputs'!D31/100)/(('1_Inputs'!D30/100)^2))&lt;=25,100,80)))),IF(('1_Inputs'!D29*(1-'1_Inputs'!D31/100)/(('1_Inputs'!D30/100)^2))&lt;14,25,IF(('1_Inputs'!D29*(1-'1_Inputs'!D31/100)/(('1_Inputs'!D30/100)^2))&lt;15.5,50,IF(('1_Inputs'!D29*(1-'1_Inputs'!D31/100)/(('1_Inputs'!D30/100)^2))&lt;17,80,IF(('1_Inputs'!D29*(1-'1_Inputs'!D31/100)/(('1_Inputs'!D30/100)^2))&lt;=19,100,80)))))</f>
        <v/>
      </c>
      <c r="E7">
        <f>IF('1_Inputs'!E6=1,IF(('1_Inputs'!E29*(1-'1_Inputs'!E31/100)/(('1_Inputs'!E30/100)^2))&lt;17.5,25,IF(('1_Inputs'!E29*(1-'1_Inputs'!E31/100)/(('1_Inputs'!E30/100)^2))&lt;19,50,IF(('1_Inputs'!E29*(1-'1_Inputs'!E31/100)/(('1_Inputs'!E30/100)^2))&lt;22,80,IF(('1_Inputs'!E29*(1-'1_Inputs'!E31/100)/(('1_Inputs'!E30/100)^2))&lt;=25,100,80)))),IF(('1_Inputs'!E29*(1-'1_Inputs'!E31/100)/(('1_Inputs'!E30/100)^2))&lt;14,25,IF(('1_Inputs'!E29*(1-'1_Inputs'!E31/100)/(('1_Inputs'!E30/100)^2))&lt;15.5,50,IF(('1_Inputs'!E29*(1-'1_Inputs'!E31/100)/(('1_Inputs'!E30/100)^2))&lt;17,80,IF(('1_Inputs'!E29*(1-'1_Inputs'!E31/100)/(('1_Inputs'!E30/100)^2))&lt;=19,100,80)))))</f>
        <v/>
      </c>
      <c r="F7">
        <f>IF('1_Inputs'!F6=1,IF(('1_Inputs'!F29*(1-'1_Inputs'!F31/100)/(('1_Inputs'!F30/100)^2))&lt;17.5,25,IF(('1_Inputs'!F29*(1-'1_Inputs'!F31/100)/(('1_Inputs'!F30/100)^2))&lt;19,50,IF(('1_Inputs'!F29*(1-'1_Inputs'!F31/100)/(('1_Inputs'!F30/100)^2))&lt;22,80,IF(('1_Inputs'!F29*(1-'1_Inputs'!F31/100)/(('1_Inputs'!F30/100)^2))&lt;=25,100,80)))),IF(('1_Inputs'!F29*(1-'1_Inputs'!F31/100)/(('1_Inputs'!F30/100)^2))&lt;14,25,IF(('1_Inputs'!F29*(1-'1_Inputs'!F31/100)/(('1_Inputs'!F30/100)^2))&lt;15.5,50,IF(('1_Inputs'!F29*(1-'1_Inputs'!F31/100)/(('1_Inputs'!F30/100)^2))&lt;17,80,IF(('1_Inputs'!F29*(1-'1_Inputs'!F31/100)/(('1_Inputs'!F30/100)^2))&lt;=19,100,80)))))</f>
        <v/>
      </c>
    </row>
    <row r="8">
      <c r="A8" t="inlineStr">
        <is>
          <t>% Músculo esquelético</t>
        </is>
      </c>
      <c r="B8" t="n">
        <v>0.2</v>
      </c>
      <c r="C8">
        <f>IF('1_Inputs'!C6=1,IF('1_Inputs'!C32&gt;=45,100,IF('1_Inputs'!C32&gt;=40,80,IF('1_Inputs'!C32&gt;=35,50,IF('1_Inputs'!C32&gt;=30,25,0)))),IF('1_Inputs'!C32&gt;=35,100,IF('1_Inputs'!C32&gt;=32,80,IF('1_Inputs'!C32&gt;=28,50,IF('1_Inputs'!C32&gt;=25,25,0)))))</f>
        <v/>
      </c>
      <c r="D8">
        <f>IF('1_Inputs'!D6=1,IF('1_Inputs'!D32&gt;=45,100,IF('1_Inputs'!D32&gt;=40,80,IF('1_Inputs'!D32&gt;=35,50,IF('1_Inputs'!D32&gt;=30,25,0)))),IF('1_Inputs'!D32&gt;=35,100,IF('1_Inputs'!D32&gt;=32,80,IF('1_Inputs'!D32&gt;=28,50,IF('1_Inputs'!D32&gt;=25,25,0)))))</f>
        <v/>
      </c>
      <c r="E8">
        <f>IF('1_Inputs'!E6=1,IF('1_Inputs'!E32&gt;=45,100,IF('1_Inputs'!E32&gt;=40,80,IF('1_Inputs'!E32&gt;=35,50,IF('1_Inputs'!E32&gt;=30,25,0)))),IF('1_Inputs'!E32&gt;=35,100,IF('1_Inputs'!E32&gt;=32,80,IF('1_Inputs'!E32&gt;=28,50,IF('1_Inputs'!E32&gt;=25,25,0)))))</f>
        <v/>
      </c>
      <c r="F8">
        <f>IF('1_Inputs'!F6=1,IF('1_Inputs'!F32&gt;=45,100,IF('1_Inputs'!F32&gt;=40,80,IF('1_Inputs'!F32&gt;=35,50,IF('1_Inputs'!F32&gt;=30,25,0)))),IF('1_Inputs'!F32&gt;=35,100,IF('1_Inputs'!F32&gt;=32,80,IF('1_Inputs'!F32&gt;=28,50,IF('1_Inputs'!F32&gt;=25,25,0)))))</f>
        <v/>
      </c>
    </row>
    <row r="9">
      <c r="A9" t="inlineStr">
        <is>
          <t>Grasa visceral</t>
        </is>
      </c>
      <c r="B9" t="n">
        <v>0.15</v>
      </c>
      <c r="C9">
        <f>IF('1_Inputs'!C6=1,IF('1_Inputs'!C33&lt;5,100,IF('1_Inputs'!C33&lt;=7,80,IF('1_Inputs'!C33&lt;=10,50,IF('1_Inputs'!C33&lt;=12,25,0)))),IF('1_Inputs'!C33&lt;4,100,IF('1_Inputs'!C33&lt;=6,80,IF('1_Inputs'!C33&lt;=8,50,IF('1_Inputs'!C33&lt;=10,25,0)))))</f>
        <v/>
      </c>
      <c r="D9">
        <f>IF('1_Inputs'!D6=1,IF('1_Inputs'!D33&lt;5,100,IF('1_Inputs'!D33&lt;=7,80,IF('1_Inputs'!D33&lt;=10,50,IF('1_Inputs'!D33&lt;=12,25,0)))),IF('1_Inputs'!D33&lt;4,100,IF('1_Inputs'!D33&lt;=6,80,IF('1_Inputs'!D33&lt;=8,50,IF('1_Inputs'!D33&lt;=10,25,0)))))</f>
        <v/>
      </c>
      <c r="E9">
        <f>IF('1_Inputs'!E6=1,IF('1_Inputs'!E33&lt;5,100,IF('1_Inputs'!E33&lt;=7,80,IF('1_Inputs'!E33&lt;=10,50,IF('1_Inputs'!E33&lt;=12,25,0)))),IF('1_Inputs'!E33&lt;4,100,IF('1_Inputs'!E33&lt;=6,80,IF('1_Inputs'!E33&lt;=8,50,IF('1_Inputs'!E33&lt;=10,25,0)))))</f>
        <v/>
      </c>
      <c r="F9">
        <f>IF('1_Inputs'!F6=1,IF('1_Inputs'!F33&lt;5,100,IF('1_Inputs'!F33&lt;=7,80,IF('1_Inputs'!F33&lt;=10,50,IF('1_Inputs'!F33&lt;=12,25,0)))),IF('1_Inputs'!F33&lt;4,100,IF('1_Inputs'!F33&lt;=6,80,IF('1_Inputs'!F33&lt;=8,50,IF('1_Inputs'!F33&lt;=10,25,0)))))</f>
        <v/>
      </c>
    </row>
    <row r="10">
      <c r="A10" t="inlineStr">
        <is>
          <t>Fuerza de agarre</t>
        </is>
      </c>
      <c r="B10" t="n">
        <v>0.15</v>
      </c>
      <c r="C10">
        <f>IF('1_Inputs'!C6=1,IF('1_Inputs'!C47&gt;55,100,IF('1_Inputs'!C47&gt;=45,80,IF('1_Inputs'!C47&gt;=35,50,IF('1_Inputs'!C47&gt;=25,25,0)))),IF('1_Inputs'!C47&gt;35,100,IF('1_Inputs'!C47&gt;=28,80,IF('1_Inputs'!C47&gt;=22,50,IF('1_Inputs'!C47&gt;=18,25,0)))))</f>
        <v/>
      </c>
      <c r="D10">
        <f>IF('1_Inputs'!D6=1,IF('1_Inputs'!D47&gt;55,100,IF('1_Inputs'!D47&gt;=45,80,IF('1_Inputs'!D47&gt;=35,50,IF('1_Inputs'!D47&gt;=25,25,0)))),IF('1_Inputs'!D47&gt;35,100,IF('1_Inputs'!D47&gt;=28,80,IF('1_Inputs'!D47&gt;=22,50,IF('1_Inputs'!D47&gt;=18,25,0)))))</f>
        <v/>
      </c>
      <c r="E10">
        <f>IF('1_Inputs'!E6=1,IF('1_Inputs'!E47&gt;55,100,IF('1_Inputs'!E47&gt;=45,80,IF('1_Inputs'!E47&gt;=35,50,IF('1_Inputs'!E47&gt;=25,25,0)))),IF('1_Inputs'!E47&gt;35,100,IF('1_Inputs'!E47&gt;=28,80,IF('1_Inputs'!E47&gt;=22,50,IF('1_Inputs'!E47&gt;=18,25,0)))))</f>
        <v/>
      </c>
      <c r="F10">
        <f>IF('1_Inputs'!F6=1,IF('1_Inputs'!F47&gt;55,100,IF('1_Inputs'!F47&gt;=45,80,IF('1_Inputs'!F47&gt;=35,50,IF('1_Inputs'!F47&gt;=25,25,0)))),IF('1_Inputs'!F47&gt;35,100,IF('1_Inputs'!F47&gt;=28,80,IF('1_Inputs'!F47&gt;=22,50,IF('1_Inputs'!F47&gt;=18,25,0)))))</f>
        <v/>
      </c>
    </row>
    <row r="11">
      <c r="A11" t="inlineStr">
        <is>
          <t>Cintura</t>
        </is>
      </c>
      <c r="B11" t="n">
        <v>0.1</v>
      </c>
      <c r="C11">
        <f>IF('1_Inputs'!C6=1,IF('1_Inputs'!C34&lt;94,100,IF('1_Inputs'!C34&lt;=102,50,0)),IF('1_Inputs'!C34&lt;80,100,IF('1_Inputs'!C34&lt;=88,50,0)))</f>
        <v/>
      </c>
      <c r="D11">
        <f>IF('1_Inputs'!D6=1,IF('1_Inputs'!D34&lt;94,100,IF('1_Inputs'!D34&lt;=102,50,0)),IF('1_Inputs'!D34&lt;80,100,IF('1_Inputs'!D34&lt;=88,50,0)))</f>
        <v/>
      </c>
      <c r="E11">
        <f>IF('1_Inputs'!E6=1,IF('1_Inputs'!E34&lt;94,100,IF('1_Inputs'!E34&lt;=102,50,0)),IF('1_Inputs'!E34&lt;80,100,IF('1_Inputs'!E34&lt;=88,50,0)))</f>
        <v/>
      </c>
      <c r="F11">
        <f>IF('1_Inputs'!F6=1,IF('1_Inputs'!F34&lt;94,100,IF('1_Inputs'!F34&lt;=102,50,0)),IF('1_Inputs'!F34&lt;80,100,IF('1_Inputs'!F34&lt;=88,50,0)))</f>
        <v/>
      </c>
    </row>
    <row r="12">
      <c r="A12" s="2" t="inlineStr">
        <is>
          <t>Score Composición (0-100)</t>
        </is>
      </c>
      <c r="B12" t="inlineStr">
        <is>
          <t>Σ score×peso</t>
        </is>
      </c>
      <c r="C12" s="9">
        <f>SUMPRODUCT(C6:C11,$B$6:$B$11)</f>
        <v/>
      </c>
      <c r="D12" s="9">
        <f>SUMPRODUCT(D6:D11,$B$6:$B$11)</f>
        <v/>
      </c>
      <c r="E12" s="9">
        <f>SUMPRODUCT(E6:E11,$B$6:$B$11)</f>
        <v/>
      </c>
      <c r="F12" s="9">
        <f>SUMPRODUCT(F6:F11,$B$6:$B$11)</f>
        <v/>
      </c>
    </row>
    <row r="13">
      <c r="A13" s="10" t="inlineStr">
        <is>
          <t>═══ EDAD COMPOSICIÓN (ciega) ═══</t>
        </is>
      </c>
      <c r="B13" t="inlineStr">
        <is>
          <t>Mapeo score→edad universal</t>
        </is>
      </c>
      <c r="C13" s="12">
        <f>IF(C12&gt;=95,22,IF(C12&gt;=90,28-(C12-90)/5*6,IF(C12&gt;=80,33-(C12-80)/10*5,IF(C12&gt;=70,42-(C12-70)/10*9,IF(C12&gt;=60,50-(C12-60)/10*8,IF(C12&gt;=50,60-(C12-50)/10*10,IF(C12&gt;=40,70-(C12-40)/10*10,IF(C12&gt;=30,80-(C12-30)/10*10,MIN(100,90+(30-C12)/30*10)))))))))</f>
        <v/>
      </c>
      <c r="D13" s="12">
        <f>IF(D12&gt;=95,22,IF(D12&gt;=90,28-(D12-90)/5*6,IF(D12&gt;=80,33-(D12-80)/10*5,IF(D12&gt;=70,42-(D12-70)/10*9,IF(D12&gt;=60,50-(D12-60)/10*8,IF(D12&gt;=50,60-(D12-50)/10*10,IF(D12&gt;=40,70-(D12-40)/10*10,IF(D12&gt;=30,80-(D12-30)/10*10,MIN(100,90+(30-D12)/30*10)))))))))</f>
        <v/>
      </c>
      <c r="E13" s="12">
        <f>IF(E12&gt;=95,22,IF(E12&gt;=90,28-(E12-90)/5*6,IF(E12&gt;=80,33-(E12-80)/10*5,IF(E12&gt;=70,42-(E12-70)/10*9,IF(E12&gt;=60,50-(E12-60)/10*8,IF(E12&gt;=50,60-(E12-50)/10*10,IF(E12&gt;=40,70-(E12-40)/10*10,IF(E12&gt;=30,80-(E12-30)/10*10,MIN(100,90+(30-E12)/30*10)))))))))</f>
        <v/>
      </c>
      <c r="F13" s="12">
        <f>IF(F12&gt;=95,22,IF(F12&gt;=90,28-(F12-90)/5*6,IF(F12&gt;=80,33-(F12-80)/10*5,IF(F12&gt;=70,42-(F12-70)/10*9,IF(F12&gt;=60,50-(F12-60)/10*8,IF(F12&gt;=50,60-(F12-50)/10*10,IF(F12&gt;=40,70-(F12-40)/10*10,IF(F12&gt;=30,80-(F12-30)/10*10,MIN(100,90+(30-F12)/30*10)))))))))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ÁREA 3 — FITNESS / CAPACIDAD FÍSICA</t>
        </is>
      </c>
    </row>
    <row r="3">
      <c r="A3" s="2" t="inlineStr">
        <is>
          <t>Tests funcionales con curvas por sexo (literatura). Score 0-100 por test → score ponderado → edad ciega.</t>
        </is>
      </c>
    </row>
    <row r="4">
      <c r="A4" t="inlineStr">
        <is>
          <t>Refs: ACSM (VO2max), Yang 2019 (push-ups), Brito 2014 (Old Man Test/Sit-Rise), Berg (balance), Leong 2015 (agarre).</t>
        </is>
      </c>
    </row>
    <row r="6">
      <c r="A6" s="8" t="inlineStr">
        <is>
          <t>Test</t>
        </is>
      </c>
      <c r="B6" s="8" t="inlineStr">
        <is>
          <t>Peso</t>
        </is>
      </c>
      <c r="C6" s="8" t="inlineStr">
        <is>
          <t>H1 score</t>
        </is>
      </c>
      <c r="D6" s="8" t="inlineStr">
        <is>
          <t>H2 score</t>
        </is>
      </c>
      <c r="E6" s="8" t="inlineStr">
        <is>
          <t>M1 score</t>
        </is>
      </c>
      <c r="F6" s="8" t="inlineStr">
        <is>
          <t>M2 score</t>
        </is>
      </c>
    </row>
    <row r="7">
      <c r="A7" t="inlineStr">
        <is>
          <t>VO2max estimado</t>
        </is>
      </c>
      <c r="B7" t="n">
        <v>0.25</v>
      </c>
      <c r="C7">
        <f>IF('1_Inputs'!C6=1,IF('1_Inputs'!C39&gt;55,100,IF('1_Inputs'!C39&gt;=45,80,IF('1_Inputs'!C39&gt;=35,50,IF('1_Inputs'!C39&gt;=30,25,0)))),IF('1_Inputs'!C39&gt;45,100,IF('1_Inputs'!C39&gt;=38,80,IF('1_Inputs'!C39&gt;=30,50,IF('1_Inputs'!C39&gt;=25,25,0)))))</f>
        <v/>
      </c>
      <c r="D7">
        <f>IF('1_Inputs'!D6=1,IF('1_Inputs'!D39&gt;55,100,IF('1_Inputs'!D39&gt;=45,80,IF('1_Inputs'!D39&gt;=35,50,IF('1_Inputs'!D39&gt;=30,25,0)))),IF('1_Inputs'!D39&gt;45,100,IF('1_Inputs'!D39&gt;=38,80,IF('1_Inputs'!D39&gt;=30,50,IF('1_Inputs'!D39&gt;=25,25,0)))))</f>
        <v/>
      </c>
      <c r="E7">
        <f>IF('1_Inputs'!E6=1,IF('1_Inputs'!E39&gt;55,100,IF('1_Inputs'!E39&gt;=45,80,IF('1_Inputs'!E39&gt;=35,50,IF('1_Inputs'!E39&gt;=30,25,0)))),IF('1_Inputs'!E39&gt;45,100,IF('1_Inputs'!E39&gt;=38,80,IF('1_Inputs'!E39&gt;=30,50,IF('1_Inputs'!E39&gt;=25,25,0)))))</f>
        <v/>
      </c>
      <c r="F7">
        <f>IF('1_Inputs'!F6=1,IF('1_Inputs'!F39&gt;55,100,IF('1_Inputs'!F39&gt;=45,80,IF('1_Inputs'!F39&gt;=35,50,IF('1_Inputs'!F39&gt;=30,25,0)))),IF('1_Inputs'!F39&gt;45,100,IF('1_Inputs'!F39&gt;=38,80,IF('1_Inputs'!F39&gt;=30,50,IF('1_Inputs'!F39&gt;=25,25,0)))))</f>
        <v/>
      </c>
    </row>
    <row r="8">
      <c r="A8" t="inlineStr">
        <is>
          <t>Fuerza de agarre</t>
        </is>
      </c>
      <c r="B8" t="n">
        <v>0.15</v>
      </c>
      <c r="C8">
        <f>IF('1_Inputs'!C6=1,IF('1_Inputs'!C47&gt;55,100,IF('1_Inputs'!C47&gt;=45,80,IF('1_Inputs'!C47&gt;=35,50,IF('1_Inputs'!C47&gt;=25,25,0)))),IF('1_Inputs'!C47&gt;35,100,IF('1_Inputs'!C47&gt;=28,80,IF('1_Inputs'!C47&gt;=22,50,IF('1_Inputs'!C47&gt;=18,25,0)))))</f>
        <v/>
      </c>
      <c r="D8">
        <f>IF('1_Inputs'!D6=1,IF('1_Inputs'!D47&gt;55,100,IF('1_Inputs'!D47&gt;=45,80,IF('1_Inputs'!D47&gt;=35,50,IF('1_Inputs'!D47&gt;=25,25,0)))),IF('1_Inputs'!D47&gt;35,100,IF('1_Inputs'!D47&gt;=28,80,IF('1_Inputs'!D47&gt;=22,50,IF('1_Inputs'!D47&gt;=18,25,0)))))</f>
        <v/>
      </c>
      <c r="E8">
        <f>IF('1_Inputs'!E6=1,IF('1_Inputs'!E47&gt;55,100,IF('1_Inputs'!E47&gt;=45,80,IF('1_Inputs'!E47&gt;=35,50,IF('1_Inputs'!E47&gt;=25,25,0)))),IF('1_Inputs'!E47&gt;35,100,IF('1_Inputs'!E47&gt;=28,80,IF('1_Inputs'!E47&gt;=22,50,IF('1_Inputs'!E47&gt;=18,25,0)))))</f>
        <v/>
      </c>
      <c r="F8">
        <f>IF('1_Inputs'!F6=1,IF('1_Inputs'!F47&gt;55,100,IF('1_Inputs'!F47&gt;=45,80,IF('1_Inputs'!F47&gt;=35,50,IF('1_Inputs'!F47&gt;=25,25,0)))),IF('1_Inputs'!F47&gt;35,100,IF('1_Inputs'!F47&gt;=28,80,IF('1_Inputs'!F47&gt;=22,50,IF('1_Inputs'!F47&gt;=18,25,0)))))</f>
        <v/>
      </c>
    </row>
    <row r="9">
      <c r="A9" t="inlineStr">
        <is>
          <t>Old Man Test (Brito 2014)</t>
        </is>
      </c>
      <c r="B9" t="n">
        <v>0.15</v>
      </c>
      <c r="C9">
        <f>IF('1_Inputs'!C46&gt;=10,100,IF('1_Inputs'!C46&gt;=8,80,IF('1_Inputs'!C46&gt;=6,50,IF('1_Inputs'!C46&gt;=4,25,0))))</f>
        <v/>
      </c>
      <c r="D9">
        <f>IF('1_Inputs'!D46&gt;=10,100,IF('1_Inputs'!D46&gt;=8,80,IF('1_Inputs'!D46&gt;=6,50,IF('1_Inputs'!D46&gt;=4,25,0))))</f>
        <v/>
      </c>
      <c r="E9">
        <f>IF('1_Inputs'!E46&gt;=10,100,IF('1_Inputs'!E46&gt;=8,80,IF('1_Inputs'!E46&gt;=6,50,IF('1_Inputs'!E46&gt;=4,25,0))))</f>
        <v/>
      </c>
      <c r="F9">
        <f>IF('1_Inputs'!F46&gt;=10,100,IF('1_Inputs'!F46&gt;=8,80,IF('1_Inputs'!F46&gt;=6,50,IF('1_Inputs'!F46&gt;=4,25,0))))</f>
        <v/>
      </c>
    </row>
    <row r="10">
      <c r="A10" t="inlineStr">
        <is>
          <t>Push-ups máximas</t>
        </is>
      </c>
      <c r="B10" t="n">
        <v>0.1</v>
      </c>
      <c r="C10">
        <f>IF('1_Inputs'!C6=1,IF('1_Inputs'!C40&gt;=40,100,IF('1_Inputs'!C40&gt;=25,80,IF('1_Inputs'!C40&gt;=15,50,IF('1_Inputs'!C40&gt;=10,25,0)))),IF('1_Inputs'!C40&gt;=25,100,IF('1_Inputs'!C40&gt;=15,80,IF('1_Inputs'!C40&gt;=8,50,IF('1_Inputs'!C40&gt;=5,25,0)))))</f>
        <v/>
      </c>
      <c r="D10">
        <f>IF('1_Inputs'!D6=1,IF('1_Inputs'!D40&gt;=40,100,IF('1_Inputs'!D40&gt;=25,80,IF('1_Inputs'!D40&gt;=15,50,IF('1_Inputs'!D40&gt;=10,25,0)))),IF('1_Inputs'!D40&gt;=25,100,IF('1_Inputs'!D40&gt;=15,80,IF('1_Inputs'!D40&gt;=8,50,IF('1_Inputs'!D40&gt;=5,25,0)))))</f>
        <v/>
      </c>
      <c r="E10">
        <f>IF('1_Inputs'!E6=1,IF('1_Inputs'!E40&gt;=40,100,IF('1_Inputs'!E40&gt;=25,80,IF('1_Inputs'!E40&gt;=15,50,IF('1_Inputs'!E40&gt;=10,25,0)))),IF('1_Inputs'!E40&gt;=25,100,IF('1_Inputs'!E40&gt;=15,80,IF('1_Inputs'!E40&gt;=8,50,IF('1_Inputs'!E40&gt;=5,25,0)))))</f>
        <v/>
      </c>
      <c r="F10">
        <f>IF('1_Inputs'!F6=1,IF('1_Inputs'!F40&gt;=40,100,IF('1_Inputs'!F40&gt;=25,80,IF('1_Inputs'!F40&gt;=15,50,IF('1_Inputs'!F40&gt;=10,25,0)))),IF('1_Inputs'!F40&gt;=25,100,IF('1_Inputs'!F40&gt;=15,80,IF('1_Inputs'!F40&gt;=8,50,IF('1_Inputs'!F40&gt;=5,25,0)))))</f>
        <v/>
      </c>
    </row>
    <row r="11">
      <c r="A11" t="inlineStr">
        <is>
          <t>Sentadilla 60s</t>
        </is>
      </c>
      <c r="B11" t="n">
        <v>0.1</v>
      </c>
      <c r="C11">
        <f>IF('1_Inputs'!C6=1,IF('1_Inputs'!C41&gt;=40,100,IF('1_Inputs'!C41&gt;=30,80,IF('1_Inputs'!C41&gt;=20,50,IF('1_Inputs'!C41&gt;=10,25,0)))),IF('1_Inputs'!C41&gt;=35,100,IF('1_Inputs'!C41&gt;=25,80,IF('1_Inputs'!C41&gt;=15,50,IF('1_Inputs'!C41&gt;=8,25,0)))))</f>
        <v/>
      </c>
      <c r="D11">
        <f>IF('1_Inputs'!D6=1,IF('1_Inputs'!D41&gt;=40,100,IF('1_Inputs'!D41&gt;=30,80,IF('1_Inputs'!D41&gt;=20,50,IF('1_Inputs'!D41&gt;=10,25,0)))),IF('1_Inputs'!D41&gt;=35,100,IF('1_Inputs'!D41&gt;=25,80,IF('1_Inputs'!D41&gt;=15,50,IF('1_Inputs'!D41&gt;=8,25,0)))))</f>
        <v/>
      </c>
      <c r="E11">
        <f>IF('1_Inputs'!E6=1,IF('1_Inputs'!E41&gt;=40,100,IF('1_Inputs'!E41&gt;=30,80,IF('1_Inputs'!E41&gt;=20,50,IF('1_Inputs'!E41&gt;=10,25,0)))),IF('1_Inputs'!E41&gt;=35,100,IF('1_Inputs'!E41&gt;=25,80,IF('1_Inputs'!E41&gt;=15,50,IF('1_Inputs'!E41&gt;=8,25,0)))))</f>
        <v/>
      </c>
      <c r="F11">
        <f>IF('1_Inputs'!F6=1,IF('1_Inputs'!F41&gt;=40,100,IF('1_Inputs'!F41&gt;=30,80,IF('1_Inputs'!F41&gt;=20,50,IF('1_Inputs'!F41&gt;=10,25,0)))),IF('1_Inputs'!F41&gt;=35,100,IF('1_Inputs'!F41&gt;=25,80,IF('1_Inputs'!F41&gt;=15,50,IF('1_Inputs'!F41&gt;=8,25,0)))))</f>
        <v/>
      </c>
    </row>
    <row r="12">
      <c r="A12" t="inlineStr">
        <is>
          <t>Balance 1 pie</t>
        </is>
      </c>
      <c r="B12" t="n">
        <v>0.08</v>
      </c>
      <c r="C12">
        <f>IF('1_Inputs'!C42&gt;=60,100,IF('1_Inputs'!C42&gt;=30,80,IF('1_Inputs'!C42&gt;=15,50,IF('1_Inputs'!C42&gt;=5,25,0))))</f>
        <v/>
      </c>
      <c r="D12">
        <f>IF('1_Inputs'!D42&gt;=60,100,IF('1_Inputs'!D42&gt;=30,80,IF('1_Inputs'!D42&gt;=15,50,IF('1_Inputs'!D42&gt;=5,25,0))))</f>
        <v/>
      </c>
      <c r="E12">
        <f>IF('1_Inputs'!E42&gt;=60,100,IF('1_Inputs'!E42&gt;=30,80,IF('1_Inputs'!E42&gt;=15,50,IF('1_Inputs'!E42&gt;=5,25,0))))</f>
        <v/>
      </c>
      <c r="F12">
        <f>IF('1_Inputs'!F42&gt;=60,100,IF('1_Inputs'!F42&gt;=30,80,IF('1_Inputs'!F42&gt;=15,50,IF('1_Inputs'!F42&gt;=5,25,0))))</f>
        <v/>
      </c>
    </row>
    <row r="13">
      <c r="A13" t="inlineStr">
        <is>
          <t>Plank máx</t>
        </is>
      </c>
      <c r="B13" t="n">
        <v>0.07000000000000001</v>
      </c>
      <c r="C13">
        <f>IF('1_Inputs'!C43&gt;=180,100,IF('1_Inputs'!C43&gt;=90,80,IF('1_Inputs'!C43&gt;=45,50,IF('1_Inputs'!C43&gt;=20,25,0))))</f>
        <v/>
      </c>
      <c r="D13">
        <f>IF('1_Inputs'!D43&gt;=180,100,IF('1_Inputs'!D43&gt;=90,80,IF('1_Inputs'!D43&gt;=45,50,IF('1_Inputs'!D43&gt;=20,25,0))))</f>
        <v/>
      </c>
      <c r="E13">
        <f>IF('1_Inputs'!E43&gt;=180,100,IF('1_Inputs'!E43&gt;=90,80,IF('1_Inputs'!E43&gt;=45,50,IF('1_Inputs'!E43&gt;=20,25,0))))</f>
        <v/>
      </c>
      <c r="F13">
        <f>IF('1_Inputs'!F43&gt;=180,100,IF('1_Inputs'!F43&gt;=90,80,IF('1_Inputs'!F43&gt;=45,50,IF('1_Inputs'!F43&gt;=20,25,0))))</f>
        <v/>
      </c>
    </row>
    <row r="14">
      <c r="A14" t="inlineStr">
        <is>
          <t>Recovery HR 2-min</t>
        </is>
      </c>
      <c r="B14" t="n">
        <v>0.05</v>
      </c>
      <c r="C14">
        <f>IF('1_Inputs'!C45&gt;=40,100,IF('1_Inputs'!C45&gt;=25,80,IF('1_Inputs'!C45&gt;=15,50,IF('1_Inputs'!C45&gt;=10,25,0))))</f>
        <v/>
      </c>
      <c r="D14">
        <f>IF('1_Inputs'!D45&gt;=40,100,IF('1_Inputs'!D45&gt;=25,80,IF('1_Inputs'!D45&gt;=15,50,IF('1_Inputs'!D45&gt;=10,25,0))))</f>
        <v/>
      </c>
      <c r="E14">
        <f>IF('1_Inputs'!E45&gt;=40,100,IF('1_Inputs'!E45&gt;=25,80,IF('1_Inputs'!E45&gt;=15,50,IF('1_Inputs'!E45&gt;=10,25,0))))</f>
        <v/>
      </c>
      <c r="F14">
        <f>IF('1_Inputs'!F45&gt;=40,100,IF('1_Inputs'!F45&gt;=25,80,IF('1_Inputs'!F45&gt;=15,50,IF('1_Inputs'!F45&gt;=10,25,0))))</f>
        <v/>
      </c>
    </row>
    <row r="15">
      <c r="A15" t="inlineStr">
        <is>
          <t>BOLT</t>
        </is>
      </c>
      <c r="B15" t="n">
        <v>0.05</v>
      </c>
      <c r="C15">
        <f>IF('1_Inputs'!C44&gt;=40,100,IF('1_Inputs'!C44&gt;=25,80,IF('1_Inputs'!C44&gt;=15,50,IF('1_Inputs'!C44&gt;=10,25,0))))</f>
        <v/>
      </c>
      <c r="D15">
        <f>IF('1_Inputs'!D44&gt;=40,100,IF('1_Inputs'!D44&gt;=25,80,IF('1_Inputs'!D44&gt;=15,50,IF('1_Inputs'!D44&gt;=10,25,0))))</f>
        <v/>
      </c>
      <c r="E15">
        <f>IF('1_Inputs'!E44&gt;=40,100,IF('1_Inputs'!E44&gt;=25,80,IF('1_Inputs'!E44&gt;=15,50,IF('1_Inputs'!E44&gt;=10,25,0))))</f>
        <v/>
      </c>
      <c r="F15">
        <f>IF('1_Inputs'!F44&gt;=40,100,IF('1_Inputs'!F44&gt;=25,80,IF('1_Inputs'!F44&gt;=15,50,IF('1_Inputs'!F44&gt;=10,25,0))))</f>
        <v/>
      </c>
    </row>
    <row r="16">
      <c r="A16" s="2" t="inlineStr">
        <is>
          <t>Score Fitness (0-100)</t>
        </is>
      </c>
      <c r="C16" s="9">
        <f>SUMPRODUCT(C7:C15,$B$7:$B$15)</f>
        <v/>
      </c>
      <c r="D16" s="9">
        <f>SUMPRODUCT(D7:D15,$B$7:$B$15)</f>
        <v/>
      </c>
      <c r="E16" s="9">
        <f>SUMPRODUCT(E7:E15,$B$7:$B$15)</f>
        <v/>
      </c>
      <c r="F16" s="9">
        <f>SUMPRODUCT(F7:F15,$B$7:$B$15)</f>
        <v/>
      </c>
    </row>
    <row r="17">
      <c r="A17" s="10" t="inlineStr">
        <is>
          <t>═══ EDAD FITNESS (ciega) ═══</t>
        </is>
      </c>
      <c r="C17" s="12">
        <f>IF(C16&gt;=95,22,IF(C16&gt;=90,28-(C16-90)/5*6,IF(C16&gt;=80,33-(C16-80)/10*5,IF(C16&gt;=70,42-(C16-70)/10*9,IF(C16&gt;=60,50-(C16-60)/10*8,IF(C16&gt;=50,60-(C16-50)/10*10,IF(C16&gt;=40,70-(C16-40)/10*10,IF(C16&gt;=30,80-(C16-30)/10*10,MIN(100,90+(30-C16)/30*10)))))))))</f>
        <v/>
      </c>
      <c r="D17" s="12">
        <f>IF(D16&gt;=95,22,IF(D16&gt;=90,28-(D16-90)/5*6,IF(D16&gt;=80,33-(D16-80)/10*5,IF(D16&gt;=70,42-(D16-70)/10*9,IF(D16&gt;=60,50-(D16-60)/10*8,IF(D16&gt;=50,60-(D16-50)/10*10,IF(D16&gt;=40,70-(D16-40)/10*10,IF(D16&gt;=30,80-(D16-30)/10*10,MIN(100,90+(30-D16)/30*10)))))))))</f>
        <v/>
      </c>
      <c r="E17" s="12">
        <f>IF(E16&gt;=95,22,IF(E16&gt;=90,28-(E16-90)/5*6,IF(E16&gt;=80,33-(E16-80)/10*5,IF(E16&gt;=70,42-(E16-70)/10*9,IF(E16&gt;=60,50-(E16-60)/10*8,IF(E16&gt;=50,60-(E16-50)/10*10,IF(E16&gt;=40,70-(E16-40)/10*10,IF(E16&gt;=30,80-(E16-30)/10*10,MIN(100,90+(30-E16)/30*10)))))))))</f>
        <v/>
      </c>
      <c r="F17" s="12">
        <f>IF(F16&gt;=95,22,IF(F16&gt;=90,28-(F16-90)/5*6,IF(F16&gt;=80,33-(F16-80)/10*5,IF(F16&gt;=70,42-(F16-70)/10*9,IF(F16&gt;=60,50-(F16-60)/10*8,IF(F16&gt;=50,60-(F16-50)/10*10,IF(F16&gt;=40,70-(F16-40)/10*10,IF(F16&gt;=30,80-(F16-30)/10*10,MIN(100,90+(30-F16)/30*10)))))))))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ÁREA 4 — COGNICIÓN</t>
        </is>
      </c>
    </row>
    <row r="3">
      <c r="A3" s="2" t="inlineStr">
        <is>
          <t>Curvas Der &amp; Deary 2006 (UK Health &amp; Lifestyle Survey n=7,130). Go/No-Go añadido para inhibición prefrontal.</t>
        </is>
      </c>
    </row>
    <row r="5">
      <c r="A5" s="8" t="inlineStr">
        <is>
          <t>Test</t>
        </is>
      </c>
      <c r="B5" s="8" t="inlineStr">
        <is>
          <t>Peso</t>
        </is>
      </c>
      <c r="C5" s="8" t="inlineStr">
        <is>
          <t>H1</t>
        </is>
      </c>
      <c r="D5" s="8" t="inlineStr">
        <is>
          <t>H2</t>
        </is>
      </c>
      <c r="E5" s="8" t="inlineStr">
        <is>
          <t>M1</t>
        </is>
      </c>
      <c r="F5" s="8" t="inlineStr">
        <is>
          <t>M2</t>
        </is>
      </c>
    </row>
    <row r="6">
      <c r="A6" t="inlineStr">
        <is>
          <t>Simple RT (Der &amp; Deary 06)</t>
        </is>
      </c>
      <c r="B6" t="n">
        <v>0.3</v>
      </c>
      <c r="C6">
        <f>IF('1_Inputs'!C50&lt;=250,20,IF('1_Inputs'!C50&lt;=270,20+('1_Inputs'!C50-250)/(270-250)*10,IF('1_Inputs'!C50&lt;=290,30+('1_Inputs'!C50-270)/(290-270)*10,IF('1_Inputs'!C50&lt;=320,40+('1_Inputs'!C50-290)/(320-290)*10,IF('1_Inputs'!C50&lt;=360,50+('1_Inputs'!C50-320)/(360-320)*10,IF('1_Inputs'!C50&lt;=410,60+('1_Inputs'!C50-360)/(410-360)*10,IF('1_Inputs'!C50&lt;=470,70+('1_Inputs'!C50-410)/(470-410)*10,MIN(100,80+('1_Inputs'!C50-470)/30*10))))))))</f>
        <v/>
      </c>
      <c r="D6">
        <f>IF('1_Inputs'!D50&lt;=250,20,IF('1_Inputs'!D50&lt;=270,20+('1_Inputs'!D50-250)/(270-250)*10,IF('1_Inputs'!D50&lt;=290,30+('1_Inputs'!D50-270)/(290-270)*10,IF('1_Inputs'!D50&lt;=320,40+('1_Inputs'!D50-290)/(320-290)*10,IF('1_Inputs'!D50&lt;=360,50+('1_Inputs'!D50-320)/(360-320)*10,IF('1_Inputs'!D50&lt;=410,60+('1_Inputs'!D50-360)/(410-360)*10,IF('1_Inputs'!D50&lt;=470,70+('1_Inputs'!D50-410)/(470-410)*10,MIN(100,80+('1_Inputs'!D50-470)/30*10))))))))</f>
        <v/>
      </c>
      <c r="E6">
        <f>IF('1_Inputs'!E50&lt;=250,20,IF('1_Inputs'!E50&lt;=270,20+('1_Inputs'!E50-250)/(270-250)*10,IF('1_Inputs'!E50&lt;=290,30+('1_Inputs'!E50-270)/(290-270)*10,IF('1_Inputs'!E50&lt;=320,40+('1_Inputs'!E50-290)/(320-290)*10,IF('1_Inputs'!E50&lt;=360,50+('1_Inputs'!E50-320)/(360-320)*10,IF('1_Inputs'!E50&lt;=410,60+('1_Inputs'!E50-360)/(410-360)*10,IF('1_Inputs'!E50&lt;=470,70+('1_Inputs'!E50-410)/(470-410)*10,MIN(100,80+('1_Inputs'!E50-470)/30*10))))))))</f>
        <v/>
      </c>
      <c r="F6">
        <f>IF('1_Inputs'!F50&lt;=250,20,IF('1_Inputs'!F50&lt;=270,20+('1_Inputs'!F50-250)/(270-250)*10,IF('1_Inputs'!F50&lt;=290,30+('1_Inputs'!F50-270)/(290-270)*10,IF('1_Inputs'!F50&lt;=320,40+('1_Inputs'!F50-290)/(320-290)*10,IF('1_Inputs'!F50&lt;=360,50+('1_Inputs'!F50-320)/(360-320)*10,IF('1_Inputs'!F50&lt;=410,60+('1_Inputs'!F50-360)/(410-360)*10,IF('1_Inputs'!F50&lt;=470,70+('1_Inputs'!F50-410)/(470-410)*10,MIN(100,80+('1_Inputs'!F50-470)/30*10))))))))</f>
        <v/>
      </c>
    </row>
    <row r="7">
      <c r="A7" t="inlineStr">
        <is>
          <t>Choice RT (Der &amp; Deary 06)</t>
        </is>
      </c>
      <c r="B7" t="n">
        <v>0.3</v>
      </c>
      <c r="C7">
        <f>IF('1_Inputs'!C51&lt;=440,20,IF('1_Inputs'!C51&lt;=470,20+('1_Inputs'!C51-440)/(470-440)*10,IF('1_Inputs'!C51&lt;=500,30+('1_Inputs'!C51-470)/(500-470)*10,IF('1_Inputs'!C51&lt;=540,40+('1_Inputs'!C51-500)/(540-500)*10,IF('1_Inputs'!C51&lt;=600,50+('1_Inputs'!C51-540)/(600-540)*10,IF('1_Inputs'!C51&lt;=680,60+('1_Inputs'!C51-600)/(680-600)*10,IF('1_Inputs'!C51&lt;=780,70+('1_Inputs'!C51-680)/(780-680)*10,MIN(100,80+('1_Inputs'!C51-780)/50*10))))))))</f>
        <v/>
      </c>
      <c r="D7">
        <f>IF('1_Inputs'!D51&lt;=440,20,IF('1_Inputs'!D51&lt;=470,20+('1_Inputs'!D51-440)/(470-440)*10,IF('1_Inputs'!D51&lt;=500,30+('1_Inputs'!D51-470)/(500-470)*10,IF('1_Inputs'!D51&lt;=540,40+('1_Inputs'!D51-500)/(540-500)*10,IF('1_Inputs'!D51&lt;=600,50+('1_Inputs'!D51-540)/(600-540)*10,IF('1_Inputs'!D51&lt;=680,60+('1_Inputs'!D51-600)/(680-600)*10,IF('1_Inputs'!D51&lt;=780,70+('1_Inputs'!D51-680)/(780-680)*10,MIN(100,80+('1_Inputs'!D51-780)/50*10))))))))</f>
        <v/>
      </c>
      <c r="E7">
        <f>IF('1_Inputs'!E51&lt;=440,20,IF('1_Inputs'!E51&lt;=470,20+('1_Inputs'!E51-440)/(470-440)*10,IF('1_Inputs'!E51&lt;=500,30+('1_Inputs'!E51-470)/(500-470)*10,IF('1_Inputs'!E51&lt;=540,40+('1_Inputs'!E51-500)/(540-500)*10,IF('1_Inputs'!E51&lt;=600,50+('1_Inputs'!E51-540)/(600-540)*10,IF('1_Inputs'!E51&lt;=680,60+('1_Inputs'!E51-600)/(680-600)*10,IF('1_Inputs'!E51&lt;=780,70+('1_Inputs'!E51-680)/(780-680)*10,MIN(100,80+('1_Inputs'!E51-780)/50*10))))))))</f>
        <v/>
      </c>
      <c r="F7">
        <f>IF('1_Inputs'!F51&lt;=440,20,IF('1_Inputs'!F51&lt;=470,20+('1_Inputs'!F51-440)/(470-440)*10,IF('1_Inputs'!F51&lt;=500,30+('1_Inputs'!F51-470)/(500-470)*10,IF('1_Inputs'!F51&lt;=540,40+('1_Inputs'!F51-500)/(540-500)*10,IF('1_Inputs'!F51&lt;=600,50+('1_Inputs'!F51-540)/(600-540)*10,IF('1_Inputs'!F51&lt;=680,60+('1_Inputs'!F51-600)/(680-600)*10,IF('1_Inputs'!F51&lt;=780,70+('1_Inputs'!F51-680)/(780-680)*10,MIN(100,80+('1_Inputs'!F51-780)/50*10))))))))</f>
        <v/>
      </c>
    </row>
    <row r="8">
      <c r="A8" t="inlineStr">
        <is>
          <t>Go/No-Go (RT + errores)</t>
        </is>
      </c>
      <c r="B8" t="n">
        <v>0.25</v>
      </c>
      <c r="C8">
        <f>(IF('1_Inputs'!C52&lt;=280,20,IF('1_Inputs'!C52&lt;=310,20+('1_Inputs'!C52-280)/(310-280)*10,IF('1_Inputs'!C52&lt;=340,30+('1_Inputs'!C52-310)/(340-310)*10,IF('1_Inputs'!C52&lt;=380,40+('1_Inputs'!C52-340)/(380-340)*10,IF('1_Inputs'!C52&lt;=430,50+('1_Inputs'!C52-380)/(430-380)*10,IF('1_Inputs'!C52&lt;=490,60+('1_Inputs'!C52-430)/(490-430)*10,IF('1_Inputs'!C52&lt;=560,70+('1_Inputs'!C52-490)/(560-490)*10,MIN(100,80+('1_Inputs'!C52-560)/40*10)))))))))+(IF('1_Inputs'!C53&lt;5,0,IF('1_Inputs'!C53&lt;10,2,IF('1_Inputs'!C53&lt;20,5,10))))</f>
        <v/>
      </c>
      <c r="D8">
        <f>(IF('1_Inputs'!D52&lt;=280,20,IF('1_Inputs'!D52&lt;=310,20+('1_Inputs'!D52-280)/(310-280)*10,IF('1_Inputs'!D52&lt;=340,30+('1_Inputs'!D52-310)/(340-310)*10,IF('1_Inputs'!D52&lt;=380,40+('1_Inputs'!D52-340)/(380-340)*10,IF('1_Inputs'!D52&lt;=430,50+('1_Inputs'!D52-380)/(430-380)*10,IF('1_Inputs'!D52&lt;=490,60+('1_Inputs'!D52-430)/(490-430)*10,IF('1_Inputs'!D52&lt;=560,70+('1_Inputs'!D52-490)/(560-490)*10,MIN(100,80+('1_Inputs'!D52-560)/40*10)))))))))+(IF('1_Inputs'!D53&lt;5,0,IF('1_Inputs'!D53&lt;10,2,IF('1_Inputs'!D53&lt;20,5,10))))</f>
        <v/>
      </c>
      <c r="E8">
        <f>(IF('1_Inputs'!E52&lt;=280,20,IF('1_Inputs'!E52&lt;=310,20+('1_Inputs'!E52-280)/(310-280)*10,IF('1_Inputs'!E52&lt;=340,30+('1_Inputs'!E52-310)/(340-310)*10,IF('1_Inputs'!E52&lt;=380,40+('1_Inputs'!E52-340)/(380-340)*10,IF('1_Inputs'!E52&lt;=430,50+('1_Inputs'!E52-380)/(430-380)*10,IF('1_Inputs'!E52&lt;=490,60+('1_Inputs'!E52-430)/(490-430)*10,IF('1_Inputs'!E52&lt;=560,70+('1_Inputs'!E52-490)/(560-490)*10,MIN(100,80+('1_Inputs'!E52-560)/40*10)))))))))+(IF('1_Inputs'!E53&lt;5,0,IF('1_Inputs'!E53&lt;10,2,IF('1_Inputs'!E53&lt;20,5,10))))</f>
        <v/>
      </c>
      <c r="F8">
        <f>(IF('1_Inputs'!F52&lt;=280,20,IF('1_Inputs'!F52&lt;=310,20+('1_Inputs'!F52-280)/(310-280)*10,IF('1_Inputs'!F52&lt;=340,30+('1_Inputs'!F52-310)/(340-310)*10,IF('1_Inputs'!F52&lt;=380,40+('1_Inputs'!F52-340)/(380-340)*10,IF('1_Inputs'!F52&lt;=430,50+('1_Inputs'!F52-380)/(430-380)*10,IF('1_Inputs'!F52&lt;=490,60+('1_Inputs'!F52-430)/(490-430)*10,IF('1_Inputs'!F52&lt;=560,70+('1_Inputs'!F52-490)/(560-490)*10,MIN(100,80+('1_Inputs'!F52-560)/40*10)))))))))+(IF('1_Inputs'!F53&lt;5,0,IF('1_Inputs'!F53&lt;10,2,IF('1_Inputs'!F53&lt;20,5,10))))</f>
        <v/>
      </c>
    </row>
    <row r="9">
      <c r="A9" t="inlineStr">
        <is>
          <t>Subjetivos (claridad/energía/memoria)</t>
        </is>
      </c>
      <c r="B9" t="n">
        <v>0.15</v>
      </c>
      <c r="C9">
        <f>'1_Inputs'!C5+(7-AVERAGE('1_Inputs'!C54,'1_Inputs'!C55,'1_Inputs'!C56))*5</f>
        <v/>
      </c>
      <c r="D9">
        <f>'1_Inputs'!D5+(7-AVERAGE('1_Inputs'!D54,'1_Inputs'!D55,'1_Inputs'!D56))*5</f>
        <v/>
      </c>
      <c r="E9">
        <f>'1_Inputs'!E5+(7-AVERAGE('1_Inputs'!E54,'1_Inputs'!E55,'1_Inputs'!E56))*5</f>
        <v/>
      </c>
      <c r="F9">
        <f>'1_Inputs'!F5+(7-AVERAGE('1_Inputs'!F54,'1_Inputs'!F55,'1_Inputs'!F56))*5</f>
        <v/>
      </c>
    </row>
    <row r="10">
      <c r="A10" s="10" t="inlineStr">
        <is>
          <t>═══ EDAD COGNICIÓN (ciega) ═══</t>
        </is>
      </c>
      <c r="B10" t="inlineStr">
        <is>
          <t>Promedio ponderado de las 4 edades parciales</t>
        </is>
      </c>
      <c r="C10" s="12">
        <f>SUMPRODUCT(C6:C9,$B$6:$B$9)</f>
        <v/>
      </c>
      <c r="D10" s="12">
        <f>SUMPRODUCT(D6:D9,$B$6:$B$9)</f>
        <v/>
      </c>
      <c r="E10" s="12">
        <f>SUMPRODUCT(E6:E9,$B$6:$B$9)</f>
        <v/>
      </c>
      <c r="F10" s="12">
        <f>SUMPRODUCT(F6:F9,$B$6:$B$9)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ÁREA 5 — RIESGOS DE PADECIMIENTOS</t>
        </is>
      </c>
    </row>
    <row r="3">
      <c r="A3" s="2" t="inlineStr">
        <is>
          <t>Sub-bloques: cardio + metabólico + inflamatorio + hormonal + hepatorenal</t>
        </is>
      </c>
    </row>
    <row r="5">
      <c r="A5" s="8" t="inlineStr">
        <is>
          <t>Param</t>
        </is>
      </c>
      <c r="B5" s="8" t="inlineStr">
        <is>
          <t>Peso intra-bloque</t>
        </is>
      </c>
      <c r="C5" s="8" t="inlineStr">
        <is>
          <t>H1 score</t>
        </is>
      </c>
      <c r="D5" s="8" t="inlineStr">
        <is>
          <t>H2 score</t>
        </is>
      </c>
      <c r="E5" s="8" t="inlineStr">
        <is>
          <t>M1 score</t>
        </is>
      </c>
      <c r="F5" s="8" t="inlineStr">
        <is>
          <t>M2 score</t>
        </is>
      </c>
    </row>
    <row r="6">
      <c r="A6" s="3" t="inlineStr">
        <is>
          <t>— SUB-BLOQUE CARDIOVASCULAR (peso intra: 1.0) —</t>
        </is>
      </c>
    </row>
    <row r="7">
      <c r="A7" t="inlineStr">
        <is>
          <t>ApoB</t>
        </is>
      </c>
      <c r="B7" t="n">
        <v>0.2</v>
      </c>
      <c r="C7">
        <f>IF('1_Inputs'!C59&lt;=80,100,IF('1_Inputs'!C59&lt;=99,80,IF('1_Inputs'!C59&lt;=110,50,IF('1_Inputs'!C59&lt;=125,25,0))))</f>
        <v/>
      </c>
      <c r="D7">
        <f>IF('1_Inputs'!D59&lt;=80,100,IF('1_Inputs'!D59&lt;=99,80,IF('1_Inputs'!D59&lt;=110,50,IF('1_Inputs'!D59&lt;=125,25,0))))</f>
        <v/>
      </c>
      <c r="E7">
        <f>IF('1_Inputs'!E59&lt;=80,100,IF('1_Inputs'!E59&lt;=99,80,IF('1_Inputs'!E59&lt;=110,50,IF('1_Inputs'!E59&lt;=125,25,0))))</f>
        <v/>
      </c>
      <c r="F7">
        <f>IF('1_Inputs'!F59&lt;=80,100,IF('1_Inputs'!F59&lt;=99,80,IF('1_Inputs'!F59&lt;=110,50,IF('1_Inputs'!F59&lt;=125,25,0))))</f>
        <v/>
      </c>
    </row>
    <row r="8">
      <c r="A8" t="inlineStr">
        <is>
          <t>LDL</t>
        </is>
      </c>
      <c r="B8" t="n">
        <v>0.1</v>
      </c>
      <c r="C8">
        <f>IF('1_Inputs'!C60&lt;=100,100,IF('1_Inputs'!C60&lt;=130,80,IF('1_Inputs'!C60&lt;=160,50,IF('1_Inputs'!C60&lt;=190,25,0))))</f>
        <v/>
      </c>
      <c r="D8">
        <f>IF('1_Inputs'!D60&lt;=100,100,IF('1_Inputs'!D60&lt;=130,80,IF('1_Inputs'!D60&lt;=160,50,IF('1_Inputs'!D60&lt;=190,25,0))))</f>
        <v/>
      </c>
      <c r="E8">
        <f>IF('1_Inputs'!E60&lt;=100,100,IF('1_Inputs'!E60&lt;=130,80,IF('1_Inputs'!E60&lt;=160,50,IF('1_Inputs'!E60&lt;=190,25,0))))</f>
        <v/>
      </c>
      <c r="F8">
        <f>IF('1_Inputs'!F60&lt;=100,100,IF('1_Inputs'!F60&lt;=130,80,IF('1_Inputs'!F60&lt;=160,50,IF('1_Inputs'!F60&lt;=190,25,0))))</f>
        <v/>
      </c>
    </row>
    <row r="9">
      <c r="A9" t="inlineStr">
        <is>
          <t>HDL</t>
        </is>
      </c>
      <c r="B9" t="n">
        <v>0.15</v>
      </c>
      <c r="C9">
        <f>IF('1_Inputs'!C61&gt;=60,100,IF('1_Inputs'!C61&gt;=50,80,IF('1_Inputs'!C61&gt;=40,50,IF('1_Inputs'!C61&gt;=30,25,0))))</f>
        <v/>
      </c>
      <c r="D9">
        <f>IF('1_Inputs'!D61&gt;=60,100,IF('1_Inputs'!D61&gt;=50,80,IF('1_Inputs'!D61&gt;=40,50,IF('1_Inputs'!D61&gt;=30,25,0))))</f>
        <v/>
      </c>
      <c r="E9">
        <f>IF('1_Inputs'!E61&gt;=60,100,IF('1_Inputs'!E61&gt;=50,80,IF('1_Inputs'!E61&gt;=40,50,IF('1_Inputs'!E61&gt;=30,25,0))))</f>
        <v/>
      </c>
      <c r="F9">
        <f>IF('1_Inputs'!F61&gt;=60,100,IF('1_Inputs'!F61&gt;=50,80,IF('1_Inputs'!F61&gt;=40,50,IF('1_Inputs'!F61&gt;=30,25,0))))</f>
        <v/>
      </c>
    </row>
    <row r="10">
      <c r="A10" t="inlineStr">
        <is>
          <t>Triglicéridos</t>
        </is>
      </c>
      <c r="B10" t="n">
        <v>0.1</v>
      </c>
      <c r="C10">
        <f>IF('1_Inputs'!C63&lt;=100,100,IF('1_Inputs'!C63&lt;=150,80,IF('1_Inputs'!C63&lt;=200,50,IF('1_Inputs'!C63&lt;=300,25,0))))</f>
        <v/>
      </c>
      <c r="D10">
        <f>IF('1_Inputs'!D63&lt;=100,100,IF('1_Inputs'!D63&lt;=150,80,IF('1_Inputs'!D63&lt;=200,50,IF('1_Inputs'!D63&lt;=300,25,0))))</f>
        <v/>
      </c>
      <c r="E10">
        <f>IF('1_Inputs'!E63&lt;=100,100,IF('1_Inputs'!E63&lt;=150,80,IF('1_Inputs'!E63&lt;=200,50,IF('1_Inputs'!E63&lt;=300,25,0))))</f>
        <v/>
      </c>
      <c r="F10">
        <f>IF('1_Inputs'!F63&lt;=100,100,IF('1_Inputs'!F63&lt;=150,80,IF('1_Inputs'!F63&lt;=200,50,IF('1_Inputs'!F63&lt;=300,25,0))))</f>
        <v/>
      </c>
    </row>
    <row r="11">
      <c r="A11" t="inlineStr">
        <is>
          <t>Ratio TG/HDL</t>
        </is>
      </c>
      <c r="B11" t="n">
        <v>0.15</v>
      </c>
      <c r="C11">
        <f>IF(('1_Inputs'!C63/'1_Inputs'!C61)&lt;=2,100,IF(('1_Inputs'!C63/'1_Inputs'!C61)&lt;=3,80,IF(('1_Inputs'!C63/'1_Inputs'!C61)&lt;=4,50,IF(('1_Inputs'!C63/'1_Inputs'!C61)&lt;=6,25,0))))</f>
        <v/>
      </c>
      <c r="D11">
        <f>IF(('1_Inputs'!D63/'1_Inputs'!D61)&lt;=2,100,IF(('1_Inputs'!D63/'1_Inputs'!D61)&lt;=3,80,IF(('1_Inputs'!D63/'1_Inputs'!D61)&lt;=4,50,IF(('1_Inputs'!D63/'1_Inputs'!D61)&lt;=6,25,0))))</f>
        <v/>
      </c>
      <c r="E11">
        <f>IF(('1_Inputs'!E63/'1_Inputs'!E61)&lt;=2,100,IF(('1_Inputs'!E63/'1_Inputs'!E61)&lt;=3,80,IF(('1_Inputs'!E63/'1_Inputs'!E61)&lt;=4,50,IF(('1_Inputs'!E63/'1_Inputs'!E61)&lt;=6,25,0))))</f>
        <v/>
      </c>
      <c r="F11">
        <f>IF(('1_Inputs'!F63/'1_Inputs'!F61)&lt;=2,100,IF(('1_Inputs'!F63/'1_Inputs'!F61)&lt;=3,80,IF(('1_Inputs'!F63/'1_Inputs'!F61)&lt;=4,50,IF(('1_Inputs'!F63/'1_Inputs'!F61)&lt;=6,25,0))))</f>
        <v/>
      </c>
    </row>
    <row r="12">
      <c r="A12" t="inlineStr">
        <is>
          <t>PA Sistólica</t>
        </is>
      </c>
      <c r="B12" t="n">
        <v>0.15</v>
      </c>
      <c r="C12">
        <f>IF(AND('1_Inputs'!C64&gt;=90,'1_Inputs'!C64&lt;=115),100,IF('1_Inputs'!C64&lt;=120,80,IF('1_Inputs'!C64&lt;=130,50,IF('1_Inputs'!C64&lt;=140,25,0))))</f>
        <v/>
      </c>
      <c r="D12">
        <f>IF(AND('1_Inputs'!D64&gt;=90,'1_Inputs'!D64&lt;=115),100,IF('1_Inputs'!D64&lt;=120,80,IF('1_Inputs'!D64&lt;=130,50,IF('1_Inputs'!D64&lt;=140,25,0))))</f>
        <v/>
      </c>
      <c r="E12">
        <f>IF(AND('1_Inputs'!E64&gt;=90,'1_Inputs'!E64&lt;=115),100,IF('1_Inputs'!E64&lt;=120,80,IF('1_Inputs'!E64&lt;=130,50,IF('1_Inputs'!E64&lt;=140,25,0))))</f>
        <v/>
      </c>
      <c r="F12">
        <f>IF(AND('1_Inputs'!F64&gt;=90,'1_Inputs'!F64&lt;=115),100,IF('1_Inputs'!F64&lt;=120,80,IF('1_Inputs'!F64&lt;=130,50,IF('1_Inputs'!F64&lt;=140,25,0))))</f>
        <v/>
      </c>
    </row>
    <row r="13">
      <c r="A13" t="inlineStr">
        <is>
          <t>PA Diastólica</t>
        </is>
      </c>
      <c r="B13" t="n">
        <v>0.1</v>
      </c>
      <c r="C13">
        <f>IF(AND('1_Inputs'!C65&gt;=60,'1_Inputs'!C65&lt;=75),100,IF('1_Inputs'!C65&lt;=85,80,IF('1_Inputs'!C65&lt;=90,50,IF('1_Inputs'!C65&lt;=100,25,0))))</f>
        <v/>
      </c>
      <c r="D13">
        <f>IF(AND('1_Inputs'!D65&gt;=60,'1_Inputs'!D65&lt;=75),100,IF('1_Inputs'!D65&lt;=85,80,IF('1_Inputs'!D65&lt;=90,50,IF('1_Inputs'!D65&lt;=100,25,0))))</f>
        <v/>
      </c>
      <c r="E13">
        <f>IF(AND('1_Inputs'!E65&gt;=60,'1_Inputs'!E65&lt;=75),100,IF('1_Inputs'!E65&lt;=85,80,IF('1_Inputs'!E65&lt;=90,50,IF('1_Inputs'!E65&lt;=100,25,0))))</f>
        <v/>
      </c>
      <c r="F13">
        <f>IF(AND('1_Inputs'!F65&gt;=60,'1_Inputs'!F65&lt;=75),100,IF('1_Inputs'!F65&lt;=85,80,IF('1_Inputs'!F65&lt;=90,50,IF('1_Inputs'!F65&lt;=100,25,0))))</f>
        <v/>
      </c>
    </row>
    <row r="14">
      <c r="A14" t="inlineStr">
        <is>
          <t>Colesterol Total</t>
        </is>
      </c>
      <c r="B14" t="n">
        <v>0.05</v>
      </c>
      <c r="C14">
        <f>IF('1_Inputs'!C62&lt;=200,100,IF('1_Inputs'!C62&lt;=220,80,IF('1_Inputs'!C62&lt;=240,50,IF('1_Inputs'!C62&lt;=280,25,0))))</f>
        <v/>
      </c>
      <c r="D14">
        <f>IF('1_Inputs'!D62&lt;=200,100,IF('1_Inputs'!D62&lt;=220,80,IF('1_Inputs'!D62&lt;=240,50,IF('1_Inputs'!D62&lt;=280,25,0))))</f>
        <v/>
      </c>
      <c r="E14">
        <f>IF('1_Inputs'!E62&lt;=200,100,IF('1_Inputs'!E62&lt;=220,80,IF('1_Inputs'!E62&lt;=240,50,IF('1_Inputs'!E62&lt;=280,25,0))))</f>
        <v/>
      </c>
      <c r="F14">
        <f>IF('1_Inputs'!F62&lt;=200,100,IF('1_Inputs'!F62&lt;=220,80,IF('1_Inputs'!F62&lt;=240,50,IF('1_Inputs'!F62&lt;=280,25,0))))</f>
        <v/>
      </c>
    </row>
    <row r="15">
      <c r="A15" s="2" t="inlineStr">
        <is>
          <t>Score Cardio</t>
        </is>
      </c>
      <c r="C15" s="9">
        <f>SUMPRODUCT(C7:C14,$B$7:$B$14)</f>
        <v/>
      </c>
      <c r="D15" s="9">
        <f>SUMPRODUCT(D7:D14,$B$7:$B$14)</f>
        <v/>
      </c>
      <c r="E15" s="9">
        <f>SUMPRODUCT(E7:E14,$B$7:$B$14)</f>
        <v/>
      </c>
      <c r="F15" s="9">
        <f>SUMPRODUCT(F7:F14,$B$7:$B$14)</f>
        <v/>
      </c>
    </row>
    <row r="17">
      <c r="A17" s="3" t="inlineStr">
        <is>
          <t>— SUB-BLOQUE METABÓLICO —</t>
        </is>
      </c>
    </row>
    <row r="18">
      <c r="A18" t="inlineStr">
        <is>
          <t>HbA1c</t>
        </is>
      </c>
      <c r="B18" t="n">
        <v>0.35</v>
      </c>
      <c r="C18">
        <f>IF('1_Inputs'!C66&lt;=5.5,100,IF('1_Inputs'!C66&lt;=5.6,80,IF('1_Inputs'!C66&lt;=6.0,50,IF('1_Inputs'!C66&lt;=6.5,25,0))))</f>
        <v/>
      </c>
      <c r="D18">
        <f>IF('1_Inputs'!D66&lt;=5.5,100,IF('1_Inputs'!D66&lt;=5.6,80,IF('1_Inputs'!D66&lt;=6.0,50,IF('1_Inputs'!D66&lt;=6.5,25,0))))</f>
        <v/>
      </c>
      <c r="E18">
        <f>IF('1_Inputs'!E66&lt;=5.5,100,IF('1_Inputs'!E66&lt;=5.6,80,IF('1_Inputs'!E66&lt;=6.0,50,IF('1_Inputs'!E66&lt;=6.5,25,0))))</f>
        <v/>
      </c>
      <c r="F18">
        <f>IF('1_Inputs'!F66&lt;=5.5,100,IF('1_Inputs'!F66&lt;=5.6,80,IF('1_Inputs'!F66&lt;=6.0,50,IF('1_Inputs'!F66&lt;=6.5,25,0))))</f>
        <v/>
      </c>
    </row>
    <row r="19">
      <c r="A19" t="inlineStr">
        <is>
          <t>HOMA-IR</t>
        </is>
      </c>
      <c r="B19" t="n">
        <v>0.3</v>
      </c>
      <c r="C19">
        <f>IF('1_Inputs'!C68&lt;=1,100,IF('1_Inputs'!C68&lt;=1.5,80,IF('1_Inputs'!C68&lt;=2.5,50,IF('1_Inputs'!C68&lt;=4,25,0))))</f>
        <v/>
      </c>
      <c r="D19">
        <f>IF('1_Inputs'!D68&lt;=1,100,IF('1_Inputs'!D68&lt;=1.5,80,IF('1_Inputs'!D68&lt;=2.5,50,IF('1_Inputs'!D68&lt;=4,25,0))))</f>
        <v/>
      </c>
      <c r="E19">
        <f>IF('1_Inputs'!E68&lt;=1,100,IF('1_Inputs'!E68&lt;=1.5,80,IF('1_Inputs'!E68&lt;=2.5,50,IF('1_Inputs'!E68&lt;=4,25,0))))</f>
        <v/>
      </c>
      <c r="F19">
        <f>IF('1_Inputs'!F68&lt;=1,100,IF('1_Inputs'!F68&lt;=1.5,80,IF('1_Inputs'!F68&lt;=2.5,50,IF('1_Inputs'!F68&lt;=4,25,0))))</f>
        <v/>
      </c>
    </row>
    <row r="20">
      <c r="A20" t="inlineStr">
        <is>
          <t>Glucosa ayuno</t>
        </is>
      </c>
      <c r="B20" t="n">
        <v>0.2</v>
      </c>
      <c r="C20">
        <f>IF('1_Inputs'!C11&lt;=90,100,IF('1_Inputs'!C11&lt;=100,80,IF('1_Inputs'!C11&lt;=110,50,IF('1_Inputs'!C11&lt;=125,25,0))))</f>
        <v/>
      </c>
      <c r="D20">
        <f>IF('1_Inputs'!D11&lt;=90,100,IF('1_Inputs'!D11&lt;=100,80,IF('1_Inputs'!D11&lt;=110,50,IF('1_Inputs'!D11&lt;=125,25,0))))</f>
        <v/>
      </c>
      <c r="E20">
        <f>IF('1_Inputs'!E11&lt;=90,100,IF('1_Inputs'!E11&lt;=100,80,IF('1_Inputs'!E11&lt;=110,50,IF('1_Inputs'!E11&lt;=125,25,0))))</f>
        <v/>
      </c>
      <c r="F20">
        <f>IF('1_Inputs'!F11&lt;=90,100,IF('1_Inputs'!F11&lt;=100,80,IF('1_Inputs'!F11&lt;=110,50,IF('1_Inputs'!F11&lt;=125,25,0))))</f>
        <v/>
      </c>
    </row>
    <row r="21">
      <c r="A21" t="inlineStr">
        <is>
          <t>Insulina ayuno</t>
        </is>
      </c>
      <c r="B21" t="n">
        <v>0.15</v>
      </c>
      <c r="C21">
        <f>IF('1_Inputs'!C67&lt;=5,100,IF('1_Inputs'!C67&lt;=8,80,IF('1_Inputs'!C67&lt;=12,50,IF('1_Inputs'!C67&lt;=20,25,0))))</f>
        <v/>
      </c>
      <c r="D21">
        <f>IF('1_Inputs'!D67&lt;=5,100,IF('1_Inputs'!D67&lt;=8,80,IF('1_Inputs'!D67&lt;=12,50,IF('1_Inputs'!D67&lt;=20,25,0))))</f>
        <v/>
      </c>
      <c r="E21">
        <f>IF('1_Inputs'!E67&lt;=5,100,IF('1_Inputs'!E67&lt;=8,80,IF('1_Inputs'!E67&lt;=12,50,IF('1_Inputs'!E67&lt;=20,25,0))))</f>
        <v/>
      </c>
      <c r="F21">
        <f>IF('1_Inputs'!F67&lt;=5,100,IF('1_Inputs'!F67&lt;=8,80,IF('1_Inputs'!F67&lt;=12,50,IF('1_Inputs'!F67&lt;=20,25,0))))</f>
        <v/>
      </c>
    </row>
    <row r="22">
      <c r="A22" s="2" t="inlineStr">
        <is>
          <t>Score Metabólico</t>
        </is>
      </c>
      <c r="C22" s="9">
        <f>SUMPRODUCT(C18:C21,$B$18:$B$21)</f>
        <v/>
      </c>
      <c r="D22" s="9">
        <f>SUMPRODUCT(D18:D21,$B$18:$B$21)</f>
        <v/>
      </c>
      <c r="E22" s="9">
        <f>SUMPRODUCT(E18:E21,$B$18:$B$21)</f>
        <v/>
      </c>
      <c r="F22" s="9">
        <f>SUMPRODUCT(F18:F21,$B$18:$B$21)</f>
        <v/>
      </c>
    </row>
    <row r="24">
      <c r="A24" s="3" t="inlineStr">
        <is>
          <t>— SUB-BLOQUE INFLAMATORIO —</t>
        </is>
      </c>
    </row>
    <row r="25">
      <c r="A25" t="inlineStr">
        <is>
          <t>PCR</t>
        </is>
      </c>
      <c r="B25" t="n">
        <v>0.4</v>
      </c>
      <c r="C25">
        <f>IF('1_Inputs'!C12&lt;=0.5,100,IF('1_Inputs'!C12&lt;=1,80,IF('1_Inputs'!C12&lt;=3,50,IF('1_Inputs'!C12&lt;=10,25,0))))</f>
        <v/>
      </c>
      <c r="D25">
        <f>IF('1_Inputs'!D12&lt;=0.5,100,IF('1_Inputs'!D12&lt;=1,80,IF('1_Inputs'!D12&lt;=3,50,IF('1_Inputs'!D12&lt;=10,25,0))))</f>
        <v/>
      </c>
      <c r="E25">
        <f>IF('1_Inputs'!E12&lt;=0.5,100,IF('1_Inputs'!E12&lt;=1,80,IF('1_Inputs'!E12&lt;=3,50,IF('1_Inputs'!E12&lt;=10,25,0))))</f>
        <v/>
      </c>
      <c r="F25">
        <f>IF('1_Inputs'!F12&lt;=0.5,100,IF('1_Inputs'!F12&lt;=1,80,IF('1_Inputs'!F12&lt;=3,50,IF('1_Inputs'!F12&lt;=10,25,0))))</f>
        <v/>
      </c>
    </row>
    <row r="26">
      <c r="A26" t="inlineStr">
        <is>
          <t>Homocisteína</t>
        </is>
      </c>
      <c r="B26" t="n">
        <v>0.3</v>
      </c>
      <c r="C26">
        <f>IF('1_Inputs'!C22&lt;=8,100,IF('1_Inputs'!C22&lt;=11,80,IF('1_Inputs'!C22&lt;=13,50,IF('1_Inputs'!C22&lt;=15,25,0))))</f>
        <v/>
      </c>
      <c r="D26">
        <f>IF('1_Inputs'!D22&lt;=8,100,IF('1_Inputs'!D22&lt;=11,80,IF('1_Inputs'!D22&lt;=13,50,IF('1_Inputs'!D22&lt;=15,25,0))))</f>
        <v/>
      </c>
      <c r="E26">
        <f>IF('1_Inputs'!E22&lt;=8,100,IF('1_Inputs'!E22&lt;=11,80,IF('1_Inputs'!E22&lt;=13,50,IF('1_Inputs'!E22&lt;=15,25,0))))</f>
        <v/>
      </c>
      <c r="F26">
        <f>IF('1_Inputs'!F22&lt;=8,100,IF('1_Inputs'!F22&lt;=11,80,IF('1_Inputs'!F22&lt;=13,50,IF('1_Inputs'!F22&lt;=15,25,0))))</f>
        <v/>
      </c>
    </row>
    <row r="27">
      <c r="A27" t="inlineStr">
        <is>
          <t>NLR (Neutróf/Linfo)</t>
        </is>
      </c>
      <c r="B27" t="n">
        <v>0.3</v>
      </c>
      <c r="C27">
        <f>IF('1_Inputs'!C71&lt;=1.5,100,IF('1_Inputs'!C71&lt;=2,80,IF('1_Inputs'!C71&lt;=2.5,50,IF('1_Inputs'!C71&lt;=3.5,25,0))))</f>
        <v/>
      </c>
      <c r="D27">
        <f>IF('1_Inputs'!D71&lt;=1.5,100,IF('1_Inputs'!D71&lt;=2,80,IF('1_Inputs'!D71&lt;=2.5,50,IF('1_Inputs'!D71&lt;=3.5,25,0))))</f>
        <v/>
      </c>
      <c r="E27">
        <f>IF('1_Inputs'!E71&lt;=1.5,100,IF('1_Inputs'!E71&lt;=2,80,IF('1_Inputs'!E71&lt;=2.5,50,IF('1_Inputs'!E71&lt;=3.5,25,0))))</f>
        <v/>
      </c>
      <c r="F27">
        <f>IF('1_Inputs'!F71&lt;=1.5,100,IF('1_Inputs'!F71&lt;=2,80,IF('1_Inputs'!F71&lt;=2.5,50,IF('1_Inputs'!F71&lt;=3.5,25,0))))</f>
        <v/>
      </c>
    </row>
    <row r="28">
      <c r="A28" s="2" t="inlineStr">
        <is>
          <t>Score Inflamatorio</t>
        </is>
      </c>
      <c r="C28" s="9">
        <f>SUMPRODUCT(C25:C27,$B$25:$B$27)</f>
        <v/>
      </c>
      <c r="D28" s="9">
        <f>SUMPRODUCT(D25:D27,$B$25:$B$27)</f>
        <v/>
      </c>
      <c r="E28" s="9">
        <f>SUMPRODUCT(E25:E27,$B$25:$B$27)</f>
        <v/>
      </c>
      <c r="F28" s="9">
        <f>SUMPRODUCT(F25:F27,$B$25:$B$27)</f>
        <v/>
      </c>
    </row>
    <row r="30">
      <c r="A30" s="3" t="inlineStr">
        <is>
          <t>— SUB-BLOQUE HORMONAL —</t>
        </is>
      </c>
    </row>
    <row r="31">
      <c r="A31" t="inlineStr">
        <is>
          <t>Testo (H) / Estradiol (M)</t>
        </is>
      </c>
      <c r="B31" t="n">
        <v>0.4</v>
      </c>
      <c r="C31">
        <f>IF('1_Inputs'!C6=1,IF(AND('1_Inputs'!C74&gt;=4,'1_Inputs'!C74&lt;=8),100,IF(AND('1_Inputs'!C74&gt;=3,'1_Inputs'!C74&lt;4),80,IF(AND('1_Inputs'!C74&gt;=8,'1_Inputs'!C74&lt;=12),80,IF('1_Inputs'!C74&lt;3,25,50)))),IF(AND('1_Inputs'!C74&gt;=30,'1_Inputs'!C74&lt;=200),100,IF(AND('1_Inputs'!C74&gt;=200,'1_Inputs'!C74&lt;=400),80,IF('1_Inputs'!C74&lt;30,25,50))))</f>
        <v/>
      </c>
      <c r="D31">
        <f>IF('1_Inputs'!D6=1,IF(AND('1_Inputs'!D74&gt;=4,'1_Inputs'!D74&lt;=8),100,IF(AND('1_Inputs'!D74&gt;=3,'1_Inputs'!D74&lt;4),80,IF(AND('1_Inputs'!D74&gt;=8,'1_Inputs'!D74&lt;=12),80,IF('1_Inputs'!D74&lt;3,25,50)))),IF(AND('1_Inputs'!D74&gt;=30,'1_Inputs'!D74&lt;=200),100,IF(AND('1_Inputs'!D74&gt;=200,'1_Inputs'!D74&lt;=400),80,IF('1_Inputs'!D74&lt;30,25,50))))</f>
        <v/>
      </c>
      <c r="E31">
        <f>IF('1_Inputs'!E6=1,IF(AND('1_Inputs'!E74&gt;=4,'1_Inputs'!E74&lt;=8),100,IF(AND('1_Inputs'!E74&gt;=3,'1_Inputs'!E74&lt;4),80,IF(AND('1_Inputs'!E74&gt;=8,'1_Inputs'!E74&lt;=12),80,IF('1_Inputs'!E74&lt;3,25,50)))),IF(AND('1_Inputs'!E74&gt;=30,'1_Inputs'!E74&lt;=200),100,IF(AND('1_Inputs'!E74&gt;=200,'1_Inputs'!E74&lt;=400),80,IF('1_Inputs'!E74&lt;30,25,50))))</f>
        <v/>
      </c>
      <c r="F31">
        <f>IF('1_Inputs'!F6=1,IF(AND('1_Inputs'!F74&gt;=4,'1_Inputs'!F74&lt;=8),100,IF(AND('1_Inputs'!F74&gt;=3,'1_Inputs'!F74&lt;4),80,IF(AND('1_Inputs'!F74&gt;=8,'1_Inputs'!F74&lt;=12),80,IF('1_Inputs'!F74&lt;3,25,50)))),IF(AND('1_Inputs'!F74&gt;=30,'1_Inputs'!F74&lt;=200),100,IF(AND('1_Inputs'!F74&gt;=200,'1_Inputs'!F74&lt;=400),80,IF('1_Inputs'!F74&lt;30,25,50))))</f>
        <v/>
      </c>
    </row>
    <row r="32">
      <c r="A32" t="inlineStr">
        <is>
          <t>TSH</t>
        </is>
      </c>
      <c r="B32" t="n">
        <v>0.25</v>
      </c>
      <c r="C32">
        <f>IF(AND('1_Inputs'!C24&gt;=1,'1_Inputs'!C24&lt;=2.5),100,IF(AND('1_Inputs'!C24&gt;=0.5,'1_Inputs'!C24&lt;=3),80,IF(AND('1_Inputs'!C24&gt;0.3,'1_Inputs'!C24&lt;=4),50,IF('1_Inputs'!C24&lt;=5,25,0))))</f>
        <v/>
      </c>
      <c r="D32">
        <f>IF(AND('1_Inputs'!D24&gt;=1,'1_Inputs'!D24&lt;=2.5),100,IF(AND('1_Inputs'!D24&gt;=0.5,'1_Inputs'!D24&lt;=3),80,IF(AND('1_Inputs'!D24&gt;0.3,'1_Inputs'!D24&lt;=4),50,IF('1_Inputs'!D24&lt;=5,25,0))))</f>
        <v/>
      </c>
      <c r="E32">
        <f>IF(AND('1_Inputs'!E24&gt;=1,'1_Inputs'!E24&lt;=2.5),100,IF(AND('1_Inputs'!E24&gt;=0.5,'1_Inputs'!E24&lt;=3),80,IF(AND('1_Inputs'!E24&gt;0.3,'1_Inputs'!E24&lt;=4),50,IF('1_Inputs'!E24&lt;=5,25,0))))</f>
        <v/>
      </c>
      <c r="F32">
        <f>IF(AND('1_Inputs'!F24&gt;=1,'1_Inputs'!F24&lt;=2.5),100,IF(AND('1_Inputs'!F24&gt;=0.5,'1_Inputs'!F24&lt;=3),80,IF(AND('1_Inputs'!F24&gt;0.3,'1_Inputs'!F24&lt;=4),50,IF('1_Inputs'!F24&lt;=5,25,0))))</f>
        <v/>
      </c>
    </row>
    <row r="33">
      <c r="A33" t="inlineStr">
        <is>
          <t>Cortisol matutino</t>
        </is>
      </c>
      <c r="B33" t="n">
        <v>0.25</v>
      </c>
      <c r="C33">
        <f>IF(AND('1_Inputs'!C25&gt;=6,'1_Inputs'!C25&lt;=15),100,IF('1_Inputs'!C25&lt;=18,80,IF('1_Inputs'!C25&lt;=22,50,25)))</f>
        <v/>
      </c>
      <c r="D33">
        <f>IF(AND('1_Inputs'!D25&gt;=6,'1_Inputs'!D25&lt;=15),100,IF('1_Inputs'!D25&lt;=18,80,IF('1_Inputs'!D25&lt;=22,50,25)))</f>
        <v/>
      </c>
      <c r="E33">
        <f>IF(AND('1_Inputs'!E25&gt;=6,'1_Inputs'!E25&lt;=15),100,IF('1_Inputs'!E25&lt;=18,80,IF('1_Inputs'!E25&lt;=22,50,25)))</f>
        <v/>
      </c>
      <c r="F33">
        <f>IF(AND('1_Inputs'!F25&gt;=6,'1_Inputs'!F25&lt;=15),100,IF('1_Inputs'!F25&lt;=18,80,IF('1_Inputs'!F25&lt;=22,50,25)))</f>
        <v/>
      </c>
    </row>
    <row r="34">
      <c r="A34" t="inlineStr">
        <is>
          <t>Vitamina D</t>
        </is>
      </c>
      <c r="B34" t="n">
        <v>0.1</v>
      </c>
      <c r="C34">
        <f>IF(AND('1_Inputs'!C20&gt;=30,'1_Inputs'!C20&lt;=70),100,IF('1_Inputs'!C20&gt;=20,50,25))</f>
        <v/>
      </c>
      <c r="D34">
        <f>IF(AND('1_Inputs'!D20&gt;=30,'1_Inputs'!D20&lt;=70),100,IF('1_Inputs'!D20&gt;=20,50,25))</f>
        <v/>
      </c>
      <c r="E34">
        <f>IF(AND('1_Inputs'!E20&gt;=30,'1_Inputs'!E20&lt;=70),100,IF('1_Inputs'!E20&gt;=20,50,25))</f>
        <v/>
      </c>
      <c r="F34">
        <f>IF(AND('1_Inputs'!F20&gt;=30,'1_Inputs'!F20&lt;=70),100,IF('1_Inputs'!F20&gt;=20,50,25))</f>
        <v/>
      </c>
    </row>
    <row r="35">
      <c r="A35" s="2" t="inlineStr">
        <is>
          <t>Score Hormonal</t>
        </is>
      </c>
      <c r="C35" s="9">
        <f>SUMPRODUCT(C31:C34,$B$31:$B$34)</f>
        <v/>
      </c>
      <c r="D35" s="9">
        <f>SUMPRODUCT(D31:D34,$B$31:$B$34)</f>
        <v/>
      </c>
      <c r="E35" s="9">
        <f>SUMPRODUCT(E31:E34,$B$31:$B$34)</f>
        <v/>
      </c>
      <c r="F35" s="9">
        <f>SUMPRODUCT(F31:F34,$B$31:$B$34)</f>
        <v/>
      </c>
    </row>
    <row r="37">
      <c r="A37" s="3" t="inlineStr">
        <is>
          <t>— SUB-BLOQUE HEPATO-RENAL —</t>
        </is>
      </c>
    </row>
    <row r="38">
      <c r="A38" t="inlineStr">
        <is>
          <t>AST</t>
        </is>
      </c>
      <c r="B38" t="n">
        <v>0.2</v>
      </c>
      <c r="C38">
        <f>IF('1_Inputs'!C75&lt;=25,100,IF('1_Inputs'!C75&lt;=35,80,IF('1_Inputs'!C75&lt;=45,50,IF('1_Inputs'!C75&lt;=60,25,0))))</f>
        <v/>
      </c>
      <c r="D38">
        <f>IF('1_Inputs'!D75&lt;=25,100,IF('1_Inputs'!D75&lt;=35,80,IF('1_Inputs'!D75&lt;=45,50,IF('1_Inputs'!D75&lt;=60,25,0))))</f>
        <v/>
      </c>
      <c r="E38">
        <f>IF('1_Inputs'!E75&lt;=25,100,IF('1_Inputs'!E75&lt;=35,80,IF('1_Inputs'!E75&lt;=45,50,IF('1_Inputs'!E75&lt;=60,25,0))))</f>
        <v/>
      </c>
      <c r="F38">
        <f>IF('1_Inputs'!F75&lt;=25,100,IF('1_Inputs'!F75&lt;=35,80,IF('1_Inputs'!F75&lt;=45,50,IF('1_Inputs'!F75&lt;=60,25,0))))</f>
        <v/>
      </c>
    </row>
    <row r="39">
      <c r="A39" t="inlineStr">
        <is>
          <t>ALT</t>
        </is>
      </c>
      <c r="B39" t="n">
        <v>0.2</v>
      </c>
      <c r="C39">
        <f>IF('1_Inputs'!C76&lt;=25,100,IF('1_Inputs'!C76&lt;=35,80,IF('1_Inputs'!C76&lt;=45,50,IF('1_Inputs'!C76&lt;=60,25,0))))</f>
        <v/>
      </c>
      <c r="D39">
        <f>IF('1_Inputs'!D76&lt;=25,100,IF('1_Inputs'!D76&lt;=35,80,IF('1_Inputs'!D76&lt;=45,50,IF('1_Inputs'!D76&lt;=60,25,0))))</f>
        <v/>
      </c>
      <c r="E39">
        <f>IF('1_Inputs'!E76&lt;=25,100,IF('1_Inputs'!E76&lt;=35,80,IF('1_Inputs'!E76&lt;=45,50,IF('1_Inputs'!E76&lt;=60,25,0))))</f>
        <v/>
      </c>
      <c r="F39">
        <f>IF('1_Inputs'!F76&lt;=25,100,IF('1_Inputs'!F76&lt;=35,80,IF('1_Inputs'!F76&lt;=45,50,IF('1_Inputs'!F76&lt;=60,25,0))))</f>
        <v/>
      </c>
    </row>
    <row r="40">
      <c r="A40" t="inlineStr">
        <is>
          <t>GGT</t>
        </is>
      </c>
      <c r="B40" t="n">
        <v>0.2</v>
      </c>
      <c r="C40">
        <f>IF('1_Inputs'!C77&lt;=25,100,IF('1_Inputs'!C77&lt;=35,80,IF('1_Inputs'!C77&lt;=50,50,IF('1_Inputs'!C77&lt;=70,25,0))))</f>
        <v/>
      </c>
      <c r="D40">
        <f>IF('1_Inputs'!D77&lt;=25,100,IF('1_Inputs'!D77&lt;=35,80,IF('1_Inputs'!D77&lt;=50,50,IF('1_Inputs'!D77&lt;=70,25,0))))</f>
        <v/>
      </c>
      <c r="E40">
        <f>IF('1_Inputs'!E77&lt;=25,100,IF('1_Inputs'!E77&lt;=35,80,IF('1_Inputs'!E77&lt;=50,50,IF('1_Inputs'!E77&lt;=70,25,0))))</f>
        <v/>
      </c>
      <c r="F40">
        <f>IF('1_Inputs'!F77&lt;=25,100,IF('1_Inputs'!F77&lt;=35,80,IF('1_Inputs'!F77&lt;=50,50,IF('1_Inputs'!F77&lt;=70,25,0))))</f>
        <v/>
      </c>
    </row>
    <row r="41">
      <c r="A41" t="inlineStr">
        <is>
          <t>BUN</t>
        </is>
      </c>
      <c r="B41" t="n">
        <v>0.2</v>
      </c>
      <c r="C41">
        <f>IF(AND('1_Inputs'!C78&gt;=8,'1_Inputs'!C78&lt;=20),100,IF('1_Inputs'!C78&lt;=25,80,IF('1_Inputs'!C78&lt;=30,50,IF('1_Inputs'!C78&lt;=40,25,0))))</f>
        <v/>
      </c>
      <c r="D41">
        <f>IF(AND('1_Inputs'!D78&gt;=8,'1_Inputs'!D78&lt;=20),100,IF('1_Inputs'!D78&lt;=25,80,IF('1_Inputs'!D78&lt;=30,50,IF('1_Inputs'!D78&lt;=40,25,0))))</f>
        <v/>
      </c>
      <c r="E41">
        <f>IF(AND('1_Inputs'!E78&gt;=8,'1_Inputs'!E78&lt;=20),100,IF('1_Inputs'!E78&lt;=25,80,IF('1_Inputs'!E78&lt;=30,50,IF('1_Inputs'!E78&lt;=40,25,0))))</f>
        <v/>
      </c>
      <c r="F41">
        <f>IF(AND('1_Inputs'!F78&gt;=8,'1_Inputs'!F78&lt;=20),100,IF('1_Inputs'!F78&lt;=25,80,IF('1_Inputs'!F78&lt;=30,50,IF('1_Inputs'!F78&lt;=40,25,0))))</f>
        <v/>
      </c>
    </row>
    <row r="42">
      <c r="A42" t="inlineStr">
        <is>
          <t>Creatinina</t>
        </is>
      </c>
      <c r="B42" t="n">
        <v>0.2</v>
      </c>
      <c r="C42">
        <f>IF('1_Inputs'!C6=1,IF(AND('1_Inputs'!C10&gt;=0.6,'1_Inputs'!C10&lt;=1.2),100,IF('1_Inputs'!C10&lt;=1.4,80,IF('1_Inputs'!C10&lt;=1.6,50,IF('1_Inputs'!C10&lt;=2,25,0)))),IF(AND('1_Inputs'!C10&gt;=0.5,'1_Inputs'!C10&lt;=1.1),100,IF('1_Inputs'!C10&lt;=1.3,80,IF('1_Inputs'!C10&lt;=1.5,50,IF('1_Inputs'!C10&lt;=1.8,25,0)))))</f>
        <v/>
      </c>
      <c r="D42">
        <f>IF('1_Inputs'!D6=1,IF(AND('1_Inputs'!D10&gt;=0.6,'1_Inputs'!D10&lt;=1.2),100,IF('1_Inputs'!D10&lt;=1.4,80,IF('1_Inputs'!D10&lt;=1.6,50,IF('1_Inputs'!D10&lt;=2,25,0)))),IF(AND('1_Inputs'!D10&gt;=0.5,'1_Inputs'!D10&lt;=1.1),100,IF('1_Inputs'!D10&lt;=1.3,80,IF('1_Inputs'!D10&lt;=1.5,50,IF('1_Inputs'!D10&lt;=1.8,25,0)))))</f>
        <v/>
      </c>
      <c r="E42">
        <f>IF('1_Inputs'!E6=1,IF(AND('1_Inputs'!E10&gt;=0.6,'1_Inputs'!E10&lt;=1.2),100,IF('1_Inputs'!E10&lt;=1.4,80,IF('1_Inputs'!E10&lt;=1.6,50,IF('1_Inputs'!E10&lt;=2,25,0)))),IF(AND('1_Inputs'!E10&gt;=0.5,'1_Inputs'!E10&lt;=1.1),100,IF('1_Inputs'!E10&lt;=1.3,80,IF('1_Inputs'!E10&lt;=1.5,50,IF('1_Inputs'!E10&lt;=1.8,25,0)))))</f>
        <v/>
      </c>
      <c r="F42">
        <f>IF('1_Inputs'!F6=1,IF(AND('1_Inputs'!F10&gt;=0.6,'1_Inputs'!F10&lt;=1.2),100,IF('1_Inputs'!F10&lt;=1.4,80,IF('1_Inputs'!F10&lt;=1.6,50,IF('1_Inputs'!F10&lt;=2,25,0)))),IF(AND('1_Inputs'!F10&gt;=0.5,'1_Inputs'!F10&lt;=1.1),100,IF('1_Inputs'!F10&lt;=1.3,80,IF('1_Inputs'!F10&lt;=1.5,50,IF('1_Inputs'!F10&lt;=1.8,25,0)))))</f>
        <v/>
      </c>
    </row>
    <row r="43">
      <c r="A43" s="2" t="inlineStr">
        <is>
          <t>Score Hepato-Renal</t>
        </is>
      </c>
      <c r="C43" s="9">
        <f>SUMPRODUCT(C38:C42,$B$38:$B$42)</f>
        <v/>
      </c>
      <c r="D43" s="9">
        <f>SUMPRODUCT(D38:D42,$B$38:$B$42)</f>
        <v/>
      </c>
      <c r="E43" s="9">
        <f>SUMPRODUCT(E38:E42,$B$38:$B$42)</f>
        <v/>
      </c>
      <c r="F43" s="9">
        <f>SUMPRODUCT(F38:F42,$B$38:$B$42)</f>
        <v/>
      </c>
    </row>
    <row r="45">
      <c r="A45" s="3" t="inlineStr">
        <is>
          <t>SCORE RIESGOS INTEGRADO</t>
        </is>
      </c>
      <c r="B45" t="inlineStr">
        <is>
          <t>Pesos sub-bloques</t>
        </is>
      </c>
    </row>
    <row r="46">
      <c r="A46" t="inlineStr">
        <is>
          <t>Cardio</t>
        </is>
      </c>
      <c r="B46" t="n">
        <v>0.3</v>
      </c>
      <c r="C46">
        <f>C15</f>
        <v/>
      </c>
      <c r="D46">
        <f>D15</f>
        <v/>
      </c>
      <c r="E46">
        <f>E15</f>
        <v/>
      </c>
      <c r="F46">
        <f>F15</f>
        <v/>
      </c>
    </row>
    <row r="47">
      <c r="A47" t="inlineStr">
        <is>
          <t>Metabólico</t>
        </is>
      </c>
      <c r="B47" t="n">
        <v>0.25</v>
      </c>
      <c r="C47">
        <f>C22</f>
        <v/>
      </c>
      <c r="D47">
        <f>D22</f>
        <v/>
      </c>
      <c r="E47">
        <f>E22</f>
        <v/>
      </c>
      <c r="F47">
        <f>F22</f>
        <v/>
      </c>
    </row>
    <row r="48">
      <c r="A48" t="inlineStr">
        <is>
          <t>Inflamatorio</t>
        </is>
      </c>
      <c r="B48" t="n">
        <v>0.2</v>
      </c>
      <c r="C48">
        <f>C28</f>
        <v/>
      </c>
      <c r="D48">
        <f>D28</f>
        <v/>
      </c>
      <c r="E48">
        <f>E28</f>
        <v/>
      </c>
      <c r="F48">
        <f>F28</f>
        <v/>
      </c>
    </row>
    <row r="49">
      <c r="A49" t="inlineStr">
        <is>
          <t>Hormonal</t>
        </is>
      </c>
      <c r="B49" t="n">
        <v>0.15</v>
      </c>
      <c r="C49">
        <f>C35</f>
        <v/>
      </c>
      <c r="D49">
        <f>D35</f>
        <v/>
      </c>
      <c r="E49">
        <f>E35</f>
        <v/>
      </c>
      <c r="F49">
        <f>F35</f>
        <v/>
      </c>
    </row>
    <row r="50">
      <c r="A50" t="inlineStr">
        <is>
          <t>Hepato-renal</t>
        </is>
      </c>
      <c r="B50" t="n">
        <v>0.1</v>
      </c>
      <c r="C50">
        <f>C43</f>
        <v/>
      </c>
      <c r="D50">
        <f>D43</f>
        <v/>
      </c>
      <c r="E50">
        <f>E43</f>
        <v/>
      </c>
      <c r="F50">
        <f>F43</f>
        <v/>
      </c>
    </row>
    <row r="51">
      <c r="A51" s="2" t="inlineStr">
        <is>
          <t>Score Riesgos Total (0-100)</t>
        </is>
      </c>
      <c r="C51" s="9">
        <f>SUMPRODUCT(C46:C50,$B$46:$B$50)</f>
        <v/>
      </c>
      <c r="D51" s="9">
        <f>SUMPRODUCT(D46:D50,$B$46:$B$50)</f>
        <v/>
      </c>
      <c r="E51" s="9">
        <f>SUMPRODUCT(E46:E50,$B$46:$B$50)</f>
        <v/>
      </c>
      <c r="F51" s="9">
        <f>SUMPRODUCT(F46:F50,$B$46:$B$50)</f>
        <v/>
      </c>
    </row>
    <row r="52">
      <c r="A52" s="10" t="inlineStr">
        <is>
          <t>═══ EDAD RIESGOS (ciega) ═══</t>
        </is>
      </c>
      <c r="C52" s="12">
        <f>IF(C51&gt;=95,22,IF(C51&gt;=90,28-(C51-90)/5*6,IF(C51&gt;=80,33-(C51-80)/10*5,IF(C51&gt;=70,42-(C51-70)/10*9,IF(C51&gt;=60,50-(C51-60)/10*8,IF(C51&gt;=50,60-(C51-50)/10*10,IF(C51&gt;=40,70-(C51-40)/10*10,IF(C51&gt;=30,80-(C51-30)/10*10,MIN(100,90+(30-C51)/30*10)))))))))</f>
        <v/>
      </c>
      <c r="D52" s="12">
        <f>IF(D51&gt;=95,22,IF(D51&gt;=90,28-(D51-90)/5*6,IF(D51&gt;=80,33-(D51-80)/10*5,IF(D51&gt;=70,42-(D51-70)/10*9,IF(D51&gt;=60,50-(D51-60)/10*8,IF(D51&gt;=50,60-(D51-50)/10*10,IF(D51&gt;=40,70-(D51-40)/10*10,IF(D51&gt;=30,80-(D51-30)/10*10,MIN(100,90+(30-D51)/30*10)))))))))</f>
        <v/>
      </c>
      <c r="E52" s="12">
        <f>IF(E51&gt;=95,22,IF(E51&gt;=90,28-(E51-90)/5*6,IF(E51&gt;=80,33-(E51-80)/10*5,IF(E51&gt;=70,42-(E51-70)/10*9,IF(E51&gt;=60,50-(E51-60)/10*8,IF(E51&gt;=50,60-(E51-50)/10*10,IF(E51&gt;=40,70-(E51-40)/10*10,IF(E51&gt;=30,80-(E51-30)/10*10,MIN(100,90+(30-E51)/30*10)))))))))</f>
        <v/>
      </c>
      <c r="F52" s="12">
        <f>IF(F51&gt;=95,22,IF(F51&gt;=90,28-(F51-90)/5*6,IF(F51&gt;=80,33-(F51-80)/10*5,IF(F51&gt;=70,42-(F51-70)/10*9,IF(F51&gt;=60,50-(F51-60)/10*8,IF(F51&gt;=50,60-(F51-50)/10*10,IF(F51&gt;=40,70-(F51-40)/10*10,IF(F51&gt;=30,80-(F51-30)/10*10,MIN(100,90+(30-F51)/30*10)))))))))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HÁBITOS — Modulador transversal de las 5 áreas</t>
        </is>
      </c>
    </row>
    <row r="3">
      <c r="A3" s="2" t="inlineStr">
        <is>
          <t>Score Hábitos 0-100 → factor multiplicador aplicado a la Edad ATP integral.</t>
        </is>
      </c>
    </row>
    <row r="4">
      <c r="A4" t="inlineStr">
        <is>
          <t>Score ≥80 → ×0.95 (bonificación) · 60-79 → ×1.00 (neutro) · 40-59 → ×1.05 · &lt;40 → ×1.10</t>
        </is>
      </c>
    </row>
    <row r="6">
      <c r="A6" s="8" t="inlineStr">
        <is>
          <t>Hábito</t>
        </is>
      </c>
      <c r="B6" s="8" t="inlineStr">
        <is>
          <t>Peso</t>
        </is>
      </c>
      <c r="C6" s="8" t="inlineStr">
        <is>
          <t>H1 score</t>
        </is>
      </c>
      <c r="D6" s="8" t="inlineStr">
        <is>
          <t>H2 score</t>
        </is>
      </c>
      <c r="E6" s="8" t="inlineStr">
        <is>
          <t>M1 score</t>
        </is>
      </c>
      <c r="F6" s="8" t="inlineStr">
        <is>
          <t>M2 score</t>
        </is>
      </c>
    </row>
    <row r="7">
      <c r="A7" t="inlineStr">
        <is>
          <t>Ayuno IF</t>
        </is>
      </c>
      <c r="B7" t="n">
        <v>0.1</v>
      </c>
      <c r="C7">
        <f>IF('1_Inputs'!C83&lt;12,0,IF('1_Inputs'!C83&lt;14,25,IF('1_Inputs'!C83&lt;16,50,IF('1_Inputs'!C83&lt;20,100,IF('1_Inputs'!C83&lt;23,80,50)))))</f>
        <v/>
      </c>
      <c r="D7">
        <f>IF('1_Inputs'!D83&lt;12,0,IF('1_Inputs'!D83&lt;14,25,IF('1_Inputs'!D83&lt;16,50,IF('1_Inputs'!D83&lt;20,100,IF('1_Inputs'!D83&lt;23,80,50)))))</f>
        <v/>
      </c>
      <c r="E7">
        <f>IF('1_Inputs'!E83&lt;12,0,IF('1_Inputs'!E83&lt;14,25,IF('1_Inputs'!E83&lt;16,50,IF('1_Inputs'!E83&lt;20,100,IF('1_Inputs'!E83&lt;23,80,50)))))</f>
        <v/>
      </c>
      <c r="F7">
        <f>IF('1_Inputs'!F83&lt;12,0,IF('1_Inputs'!F83&lt;14,25,IF('1_Inputs'!F83&lt;16,50,IF('1_Inputs'!F83&lt;20,100,IF('1_Inputs'!F83&lt;23,80,50)))))</f>
        <v/>
      </c>
    </row>
    <row r="8">
      <c r="A8" t="inlineStr">
        <is>
          <t>Ejercicio</t>
        </is>
      </c>
      <c r="B8" t="n">
        <v>0.2</v>
      </c>
      <c r="C8">
        <f>IF('1_Inputs'!C84&lt;2,0,IF('1_Inputs'!C84&lt;4,25,IF('1_Inputs'!C84&lt;7,50,IF('1_Inputs'!C84&lt;10,80,IF('1_Inputs'!C84&lt;25,100,80)))))</f>
        <v/>
      </c>
      <c r="D8">
        <f>IF('1_Inputs'!D84&lt;2,0,IF('1_Inputs'!D84&lt;4,25,IF('1_Inputs'!D84&lt;7,50,IF('1_Inputs'!D84&lt;10,80,IF('1_Inputs'!D84&lt;25,100,80)))))</f>
        <v/>
      </c>
      <c r="E8">
        <f>IF('1_Inputs'!E84&lt;2,0,IF('1_Inputs'!E84&lt;4,25,IF('1_Inputs'!E84&lt;7,50,IF('1_Inputs'!E84&lt;10,80,IF('1_Inputs'!E84&lt;25,100,80)))))</f>
        <v/>
      </c>
      <c r="F8">
        <f>IF('1_Inputs'!F84&lt;2,0,IF('1_Inputs'!F84&lt;4,25,IF('1_Inputs'!F84&lt;7,50,IF('1_Inputs'!F84&lt;10,80,IF('1_Inputs'!F84&lt;25,100,80)))))</f>
        <v/>
      </c>
    </row>
    <row r="9">
      <c r="A9" t="inlineStr">
        <is>
          <t>Pasos diarios</t>
        </is>
      </c>
      <c r="B9" t="n">
        <v>0.1</v>
      </c>
      <c r="C9">
        <f>IF('1_Inputs'!C85&lt;5000,0,IF('1_Inputs'!C85&lt;6500,25,IF('1_Inputs'!C85&lt;7800,50,IF('1_Inputs'!C85&lt;15000,100,IF('1_Inputs'!C85&lt;25000,80,50)))))</f>
        <v/>
      </c>
      <c r="D9">
        <f>IF('1_Inputs'!D85&lt;5000,0,IF('1_Inputs'!D85&lt;6500,25,IF('1_Inputs'!D85&lt;7800,50,IF('1_Inputs'!D85&lt;15000,100,IF('1_Inputs'!D85&lt;25000,80,50)))))</f>
        <v/>
      </c>
      <c r="E9">
        <f>IF('1_Inputs'!E85&lt;5000,0,IF('1_Inputs'!E85&lt;6500,25,IF('1_Inputs'!E85&lt;7800,50,IF('1_Inputs'!E85&lt;15000,100,IF('1_Inputs'!E85&lt;25000,80,50)))))</f>
        <v/>
      </c>
      <c r="F9">
        <f>IF('1_Inputs'!F85&lt;5000,0,IF('1_Inputs'!F85&lt;6500,25,IF('1_Inputs'!F85&lt;7800,50,IF('1_Inputs'!F85&lt;15000,100,IF('1_Inputs'!F85&lt;25000,80,50)))))</f>
        <v/>
      </c>
    </row>
    <row r="10">
      <c r="A10" t="inlineStr">
        <is>
          <t>Tabaquismo</t>
        </is>
      </c>
      <c r="B10" t="n">
        <v>0.15</v>
      </c>
      <c r="C10">
        <f>IF('1_Inputs'!C86=0,100,IF('1_Inputs'!C86&lt;=5,25,0))</f>
        <v/>
      </c>
      <c r="D10">
        <f>IF('1_Inputs'!D86=0,100,IF('1_Inputs'!D86&lt;=5,25,0))</f>
        <v/>
      </c>
      <c r="E10">
        <f>IF('1_Inputs'!E86=0,100,IF('1_Inputs'!E86&lt;=5,25,0))</f>
        <v/>
      </c>
      <c r="F10">
        <f>IF('1_Inputs'!F86=0,100,IF('1_Inputs'!F86&lt;=5,25,0))</f>
        <v/>
      </c>
    </row>
    <row r="11">
      <c r="A11" t="inlineStr">
        <is>
          <t>Alcohol mensual</t>
        </is>
      </c>
      <c r="B11" t="n">
        <v>0.1</v>
      </c>
      <c r="C11">
        <f>IF('1_Inputs'!C87&lt;=4,100,IF('1_Inputs'!C87&lt;=6,80,IF('1_Inputs'!C87&lt;=10,50,IF('1_Inputs'!C87&lt;=16,25,0))))</f>
        <v/>
      </c>
      <c r="D11">
        <f>IF('1_Inputs'!D87&lt;=4,100,IF('1_Inputs'!D87&lt;=6,80,IF('1_Inputs'!D87&lt;=10,50,IF('1_Inputs'!D87&lt;=16,25,0))))</f>
        <v/>
      </c>
      <c r="E11">
        <f>IF('1_Inputs'!E87&lt;=4,100,IF('1_Inputs'!E87&lt;=6,80,IF('1_Inputs'!E87&lt;=10,50,IF('1_Inputs'!E87&lt;=16,25,0))))</f>
        <v/>
      </c>
      <c r="F11">
        <f>IF('1_Inputs'!F87&lt;=4,100,IF('1_Inputs'!F87&lt;=6,80,IF('1_Inputs'!F87&lt;=10,50,IF('1_Inputs'!F87&lt;=16,25,0))))</f>
        <v/>
      </c>
    </row>
    <row r="12">
      <c r="A12" t="inlineStr">
        <is>
          <t>Sueño duración</t>
        </is>
      </c>
      <c r="B12" t="n">
        <v>0.2</v>
      </c>
      <c r="C12">
        <f>IF('1_Inputs'!C88&lt;6,0,IF('1_Inputs'!C88&lt;7,50,IF('1_Inputs'!C88&lt;7.5,80,IF('1_Inputs'!C88&lt;=8.5,100,IF('1_Inputs'!C88&lt;=9.5,80,50)))))</f>
        <v/>
      </c>
      <c r="D12">
        <f>IF('1_Inputs'!D88&lt;6,0,IF('1_Inputs'!D88&lt;7,50,IF('1_Inputs'!D88&lt;7.5,80,IF('1_Inputs'!D88&lt;=8.5,100,IF('1_Inputs'!D88&lt;=9.5,80,50)))))</f>
        <v/>
      </c>
      <c r="E12">
        <f>IF('1_Inputs'!E88&lt;6,0,IF('1_Inputs'!E88&lt;7,50,IF('1_Inputs'!E88&lt;7.5,80,IF('1_Inputs'!E88&lt;=8.5,100,IF('1_Inputs'!E88&lt;=9.5,80,50)))))</f>
        <v/>
      </c>
      <c r="F12">
        <f>IF('1_Inputs'!F88&lt;6,0,IF('1_Inputs'!F88&lt;7,50,IF('1_Inputs'!F88&lt;7.5,80,IF('1_Inputs'!F88&lt;=8.5,100,IF('1_Inputs'!F88&lt;=9.5,80,50)))))</f>
        <v/>
      </c>
    </row>
    <row r="13">
      <c r="A13" t="inlineStr">
        <is>
          <t>Consistencia sueño</t>
        </is>
      </c>
      <c r="B13" t="n">
        <v>0.15</v>
      </c>
      <c r="C13">
        <f>IF('1_Inputs'!C89&lt;=45,100,IF('1_Inputs'!C89&lt;=75,80,IF('1_Inputs'!C89&lt;=90,50,25)))</f>
        <v/>
      </c>
      <c r="D13">
        <f>IF('1_Inputs'!D89&lt;=45,100,IF('1_Inputs'!D89&lt;=75,80,IF('1_Inputs'!D89&lt;=90,50,25)))</f>
        <v/>
      </c>
      <c r="E13">
        <f>IF('1_Inputs'!E89&lt;=45,100,IF('1_Inputs'!E89&lt;=75,80,IF('1_Inputs'!E89&lt;=90,50,25)))</f>
        <v/>
      </c>
      <c r="F13">
        <f>IF('1_Inputs'!F89&lt;=45,100,IF('1_Inputs'!F89&lt;=75,80,IF('1_Inputs'!F89&lt;=90,50,25)))</f>
        <v/>
      </c>
    </row>
    <row r="14">
      <c r="A14" s="2" t="inlineStr">
        <is>
          <t>Score Hábitos (0-100)</t>
        </is>
      </c>
      <c r="C14" s="9">
        <f>SUMPRODUCT(C7:C13,$B$7:$B$13)</f>
        <v/>
      </c>
      <c r="D14" s="9">
        <f>SUMPRODUCT(D7:D13,$B$7:$B$13)</f>
        <v/>
      </c>
      <c r="E14" s="9">
        <f>SUMPRODUCT(E7:E13,$B$7:$B$13)</f>
        <v/>
      </c>
      <c r="F14" s="9">
        <f>SUMPRODUCT(F7:F13,$B$7:$B$13)</f>
        <v/>
      </c>
    </row>
    <row r="15">
      <c r="A15" s="2" t="inlineStr">
        <is>
          <t>Factor modulador</t>
        </is>
      </c>
      <c r="B15" t="inlineStr">
        <is>
          <t>Score≥80→0.95, 60-79→1.0, 40-59→1.05, &lt;40→1.10</t>
        </is>
      </c>
      <c r="C15" s="12">
        <f>IF(C14&gt;=80,0.95,IF(C14&gt;=60,1.0,IF(C14&gt;=40,1.05,1.10)))</f>
        <v/>
      </c>
      <c r="D15" s="12">
        <f>IF(D14&gt;=80,0.95,IF(D14&gt;=60,1.0,IF(D14&gt;=40,1.05,1.10)))</f>
        <v/>
      </c>
      <c r="E15" s="12">
        <f>IF(E14&gt;=80,0.95,IF(E14&gt;=60,1.0,IF(E14&gt;=40,1.05,1.10)))</f>
        <v/>
      </c>
      <c r="F15" s="12">
        <f>IF(F14&gt;=80,0.95,IF(F14&gt;=60,1.0,IF(F14&gt;=40,1.05,1.10)))</f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MOTOR — EDAD ATP INTEGRAL</t>
        </is>
      </c>
    </row>
    <row r="3">
      <c r="A3" s="2" t="inlineStr">
        <is>
          <t>ARQUITECTURA: 5 áreas ciegas → anclaje a cronológica → ponderación → modulador hábitos → cap</t>
        </is>
      </c>
    </row>
    <row r="4">
      <c r="A4" t="inlineStr">
        <is>
          <t>Factor anclaje POR ÁREA (0_README B25-B29). Confiabilidad alta = más cerca de 0.75</t>
        </is>
      </c>
    </row>
    <row r="6">
      <c r="A6" s="8" t="inlineStr">
        <is>
          <t>Área</t>
        </is>
      </c>
      <c r="B6" s="8" t="inlineStr">
        <is>
          <t>Peso</t>
        </is>
      </c>
      <c r="C6" s="8" t="inlineStr">
        <is>
          <t>H1</t>
        </is>
      </c>
      <c r="D6" s="8" t="inlineStr">
        <is>
          <t>H2 Enrique</t>
        </is>
      </c>
      <c r="E6" s="8" t="inlineStr">
        <is>
          <t>M1</t>
        </is>
      </c>
      <c r="F6" s="8" t="inlineStr">
        <is>
          <t>M2</t>
        </is>
      </c>
    </row>
    <row r="7">
      <c r="A7" t="inlineStr">
        <is>
          <t>Labs (PhenoAge + modifs)</t>
        </is>
      </c>
      <c r="B7" s="9">
        <f>'0_README'!$B$19</f>
        <v/>
      </c>
      <c r="C7">
        <f>'2_Area_Labs'!C44</f>
        <v/>
      </c>
      <c r="D7">
        <f>'2_Area_Labs'!D44</f>
        <v/>
      </c>
      <c r="E7">
        <f>'2_Area_Labs'!E44</f>
        <v/>
      </c>
      <c r="F7">
        <f>'2_Area_Labs'!F44</f>
        <v/>
      </c>
    </row>
    <row r="8">
      <c r="A8" t="inlineStr">
        <is>
          <t>Composición corporal</t>
        </is>
      </c>
      <c r="B8" s="9">
        <f>'0_README'!$B$20</f>
        <v/>
      </c>
      <c r="C8">
        <f>'3_Area_Composicion'!C13</f>
        <v/>
      </c>
      <c r="D8">
        <f>'3_Area_Composicion'!D13</f>
        <v/>
      </c>
      <c r="E8">
        <f>'3_Area_Composicion'!E13</f>
        <v/>
      </c>
      <c r="F8">
        <f>'3_Area_Composicion'!F13</f>
        <v/>
      </c>
    </row>
    <row r="9">
      <c r="A9" t="inlineStr">
        <is>
          <t>Fitness / Capacidad física</t>
        </is>
      </c>
      <c r="B9" s="9">
        <f>'0_README'!$B$21</f>
        <v/>
      </c>
      <c r="C9">
        <f>'4_Area_Fitness'!C17</f>
        <v/>
      </c>
      <c r="D9">
        <f>'4_Area_Fitness'!D17</f>
        <v/>
      </c>
      <c r="E9">
        <f>'4_Area_Fitness'!E17</f>
        <v/>
      </c>
      <c r="F9">
        <f>'4_Area_Fitness'!F17</f>
        <v/>
      </c>
    </row>
    <row r="10">
      <c r="A10" t="inlineStr">
        <is>
          <t>Cognición</t>
        </is>
      </c>
      <c r="B10" s="9">
        <f>'0_README'!$B$22</f>
        <v/>
      </c>
      <c r="C10">
        <f>'5_Area_Cognicion'!C10</f>
        <v/>
      </c>
      <c r="D10">
        <f>'5_Area_Cognicion'!D10</f>
        <v/>
      </c>
      <c r="E10">
        <f>'5_Area_Cognicion'!E10</f>
        <v/>
      </c>
      <c r="F10">
        <f>'5_Area_Cognicion'!F10</f>
        <v/>
      </c>
    </row>
    <row r="11">
      <c r="A11" t="inlineStr">
        <is>
          <t>Riesgos de padecimientos</t>
        </is>
      </c>
      <c r="B11" s="9">
        <f>'0_README'!$B$23</f>
        <v/>
      </c>
      <c r="C11">
        <f>'6_Area_Riesgos'!C52</f>
        <v/>
      </c>
      <c r="D11">
        <f>'6_Area_Riesgos'!D52</f>
        <v/>
      </c>
      <c r="E11">
        <f>'6_Area_Riesgos'!E52</f>
        <v/>
      </c>
      <c r="F11">
        <f>'6_Area_Riesgos'!F52</f>
        <v/>
      </c>
    </row>
    <row r="13">
      <c r="A13" s="2" t="inlineStr">
        <is>
          <t>Edad cronológica</t>
        </is>
      </c>
      <c r="C13">
        <f>'1_Inputs'!C5</f>
        <v/>
      </c>
      <c r="D13">
        <f>'1_Inputs'!D5</f>
        <v/>
      </c>
      <c r="E13">
        <f>'1_Inputs'!E5</f>
        <v/>
      </c>
      <c r="F13">
        <f>'1_Inputs'!F5</f>
        <v/>
      </c>
    </row>
    <row r="15">
      <c r="A15" s="3" t="inlineStr">
        <is>
          <t>═ EDADES AJUSTADAS (anclaje a cronológica) ═</t>
        </is>
      </c>
      <c r="B15" t="inlineStr">
        <is>
          <t>edad_aj = cron + (edad_area - cron) × factor_anclaje</t>
        </is>
      </c>
    </row>
    <row r="16">
      <c r="A16" t="inlineStr">
        <is>
          <t>Labs ajustada</t>
        </is>
      </c>
      <c r="C16">
        <f>C13+(C7-C13)*'0_README'!$B$25</f>
        <v/>
      </c>
      <c r="D16">
        <f>D13+(D7-D13)*'0_README'!$B$25</f>
        <v/>
      </c>
      <c r="E16">
        <f>E13+(E7-E13)*'0_README'!$B$25</f>
        <v/>
      </c>
      <c r="F16">
        <f>F13+(F7-F13)*'0_README'!$B$25</f>
        <v/>
      </c>
    </row>
    <row r="17">
      <c r="A17" t="inlineStr">
        <is>
          <t>Composición ajustada</t>
        </is>
      </c>
      <c r="C17">
        <f>C13+(C8-C13)*'0_README'!$B$26</f>
        <v/>
      </c>
      <c r="D17">
        <f>D13+(D8-D13)*'0_README'!$B$26</f>
        <v/>
      </c>
      <c r="E17">
        <f>E13+(E8-E13)*'0_README'!$B$26</f>
        <v/>
      </c>
      <c r="F17">
        <f>F13+(F8-F13)*'0_README'!$B$26</f>
        <v/>
      </c>
    </row>
    <row r="18">
      <c r="A18" t="inlineStr">
        <is>
          <t>Fitness ajustada</t>
        </is>
      </c>
      <c r="C18">
        <f>C13+(C9-C13)*'0_README'!$B$27</f>
        <v/>
      </c>
      <c r="D18">
        <f>D13+(D9-D13)*'0_README'!$B$27</f>
        <v/>
      </c>
      <c r="E18">
        <f>E13+(E9-E13)*'0_README'!$B$27</f>
        <v/>
      </c>
      <c r="F18">
        <f>F13+(F9-F13)*'0_README'!$B$27</f>
        <v/>
      </c>
    </row>
    <row r="19">
      <c r="A19" t="inlineStr">
        <is>
          <t>Cognición ajustada</t>
        </is>
      </c>
      <c r="C19">
        <f>C13+(C10-C13)*'0_README'!$B$28</f>
        <v/>
      </c>
      <c r="D19">
        <f>D13+(D10-D13)*'0_README'!$B$28</f>
        <v/>
      </c>
      <c r="E19">
        <f>E13+(E10-E13)*'0_README'!$B$28</f>
        <v/>
      </c>
      <c r="F19">
        <f>F13+(F10-F13)*'0_README'!$B$28</f>
        <v/>
      </c>
    </row>
    <row r="20">
      <c r="A20" t="inlineStr">
        <is>
          <t>Riesgos ajustada</t>
        </is>
      </c>
      <c r="C20">
        <f>C13+(C11-C13)*'0_README'!$B$29</f>
        <v/>
      </c>
      <c r="D20">
        <f>D13+(D11-D13)*'0_README'!$B$29</f>
        <v/>
      </c>
      <c r="E20">
        <f>E13+(E11-E13)*'0_README'!$B$29</f>
        <v/>
      </c>
      <c r="F20">
        <f>F13+(F11-F13)*'0_README'!$B$29</f>
        <v/>
      </c>
    </row>
    <row r="22">
      <c r="A22" s="3" t="inlineStr">
        <is>
          <t>═ EDAD ATP PRE-MODULADOR ═</t>
        </is>
      </c>
      <c r="B22" t="inlineStr">
        <is>
          <t>Σ(edad_ajustada_i × peso_i)</t>
        </is>
      </c>
      <c r="C22" s="9">
        <f>C16*'0_README'!$B$19+C17*'0_README'!$B$20+C18*'0_README'!$B$21+C19*'0_README'!$B$22+C20*'0_README'!$B$23</f>
        <v/>
      </c>
      <c r="D22" s="9">
        <f>D16*'0_README'!$B$19+D17*'0_README'!$B$20+D18*'0_README'!$B$21+D19*'0_README'!$B$22+D20*'0_README'!$B$23</f>
        <v/>
      </c>
      <c r="E22" s="9">
        <f>E16*'0_README'!$B$19+E17*'0_README'!$B$20+E18*'0_README'!$B$21+E19*'0_README'!$B$22+E20*'0_README'!$B$23</f>
        <v/>
      </c>
      <c r="F22" s="9">
        <f>F16*'0_README'!$B$19+F17*'0_README'!$B$20+F18*'0_README'!$B$21+F19*'0_README'!$B$22+F20*'0_README'!$B$23</f>
        <v/>
      </c>
    </row>
    <row r="24">
      <c r="A24" s="2" t="inlineStr">
        <is>
          <t>Factor modulador Hábitos</t>
        </is>
      </c>
      <c r="C24">
        <f>'7_Habitos_Modulador'!C15</f>
        <v/>
      </c>
      <c r="D24">
        <f>'7_Habitos_Modulador'!D15</f>
        <v/>
      </c>
      <c r="E24">
        <f>'7_Habitos_Modulador'!E15</f>
        <v/>
      </c>
      <c r="F24">
        <f>'7_Habitos_Modulador'!F15</f>
        <v/>
      </c>
    </row>
    <row r="25">
      <c r="A25" s="2" t="inlineStr">
        <is>
          <t>Edad × Modulador hábitos</t>
        </is>
      </c>
      <c r="C25" s="9">
        <f>C22*C24</f>
        <v/>
      </c>
      <c r="D25" s="9">
        <f>D22*D24</f>
        <v/>
      </c>
      <c r="E25" s="9">
        <f>E22*E24</f>
        <v/>
      </c>
      <c r="F25" s="9">
        <f>F22*F24</f>
        <v/>
      </c>
    </row>
    <row r="26">
      <c r="A26" s="13" t="inlineStr">
        <is>
          <t>═══ EDAD ATP INTEGRAL (FINAL) ═══</t>
        </is>
      </c>
      <c r="B26" s="14" t="inlineStr">
        <is>
          <t>MAX(CAP_MIN, MIN(CAP_MAX, edad))</t>
        </is>
      </c>
      <c r="C26" s="15">
        <f>MAX('0_README'!$B$17,MIN('0_README'!$B$18,C25))</f>
        <v/>
      </c>
      <c r="D26" s="15">
        <f>MAX('0_README'!$B$17,MIN('0_README'!$B$18,D25))</f>
        <v/>
      </c>
      <c r="E26" s="15">
        <f>MAX('0_README'!$B$17,MIN('0_README'!$B$18,E25))</f>
        <v/>
      </c>
      <c r="F26" s="15">
        <f>MAX('0_README'!$B$17,MIN('0_README'!$B$18,F25))</f>
        <v/>
      </c>
    </row>
    <row r="28">
      <c r="A28" s="2" t="inlineStr">
        <is>
          <t>Δ años (cron − Edad ATP)</t>
        </is>
      </c>
      <c r="B28" t="inlineStr">
        <is>
          <t>Positivo = más joven biológicamente</t>
        </is>
      </c>
      <c r="C28" s="4">
        <f>C13-C26</f>
        <v/>
      </c>
      <c r="D28" s="4">
        <f>D13-D26</f>
        <v/>
      </c>
      <c r="E28" s="4">
        <f>E13-E26</f>
        <v/>
      </c>
      <c r="F28" s="4">
        <f>F13-F26</f>
        <v/>
      </c>
    </row>
    <row r="30">
      <c r="A30" s="3" t="inlineStr">
        <is>
          <t>VALIDACIÓN ESPERADA (vs intuición clínica)</t>
        </is>
      </c>
    </row>
    <row r="31">
      <c r="A31" t="inlineStr">
        <is>
          <t>H1 (cron 50)</t>
        </is>
      </c>
      <c r="B31" t="inlineStr">
        <is>
          <t>~50-55 años (perfil sano-medio)</t>
        </is>
      </c>
    </row>
    <row r="32">
      <c r="A32" t="inlineStr">
        <is>
          <t>H2 Enrique (cron 35)</t>
        </is>
      </c>
      <c r="B32" t="inlineStr">
        <is>
          <t>~22-28 años (atleta GWR)</t>
        </is>
      </c>
    </row>
    <row r="33">
      <c r="A33" t="inlineStr">
        <is>
          <t>M1 mujer joven (cron 28)</t>
        </is>
      </c>
      <c r="B33" t="inlineStr">
        <is>
          <t>~22-26 años (atleta optimizada)</t>
        </is>
      </c>
    </row>
    <row r="34">
      <c r="A34" t="inlineStr">
        <is>
          <t>M2 mujer mayor (cron 65)</t>
        </is>
      </c>
      <c r="B34" t="inlineStr">
        <is>
          <t>~65-72 años (sedentaria, DM2)</t>
        </is>
      </c>
    </row>
    <row r="36">
      <c r="A36" s="3" t="inlineStr">
        <is>
          <t>NOTAS</t>
        </is>
      </c>
    </row>
    <row r="37">
      <c r="A37" t="inlineStr">
        <is>
          <t>• Factor de anclaje en 0_README cell B15 (default 0.5). Ajustable.</t>
        </is>
      </c>
    </row>
    <row r="38">
      <c r="A38" t="inlineStr">
        <is>
          <t>• Pesos por área en 0_README B19-B23. Suman 1.0.</t>
        </is>
      </c>
    </row>
    <row r="39">
      <c r="A39" t="inlineStr">
        <is>
          <t>• Caps absolutos 20-100 en 0_README B16-B17.</t>
        </is>
      </c>
    </row>
    <row r="40">
      <c r="A40" t="inlineStr">
        <is>
          <t>• Cada edad parcial es CIEGA (no usa cronológica). El anclaje se aplica AQUÍ.</t>
        </is>
      </c>
    </row>
    <row r="41">
      <c r="A41" t="inlineStr">
        <is>
          <t>• Si una edad parcial es absurda (ej. Labs=10), el anclaje la trae a algo razonable.</t>
        </is>
      </c>
    </row>
    <row r="42">
      <c r="A42" t="inlineStr">
        <is>
          <t>• Modulador Hábitos puede ajustar ±5% (0.95 a 1.10) el resultado.</t>
        </is>
      </c>
    </row>
    <row r="43">
      <c r="A43" t="inlineStr">
        <is>
          <t>• Para validar el motor, modifica inputs en 1_Inputs y observa el cambio aquí.</t>
        </is>
      </c>
    </row>
  </sheetData>
  <mergeCells count="8">
    <mergeCell ref="A38:F38"/>
    <mergeCell ref="A41:F41"/>
    <mergeCell ref="A42:F42"/>
    <mergeCell ref="A1:F1"/>
    <mergeCell ref="A37:F37"/>
    <mergeCell ref="A40:F40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2026-06-11T02:59:22Z</dcterms:created>
  <dcterms:modified xmlns:dcterms="http://purl.org/dc/terms/" xmlns:xsi="http://www.w3.org/2001/XMLSchema-instance" xsi:type="dcterms:W3CDTF">2026-06-11T03:38:33Z</dcterms:modified>
</cp:coreProperties>
</file>